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oBen\Desktop\"/>
    </mc:Choice>
  </mc:AlternateContent>
  <xr:revisionPtr revIDLastSave="0" documentId="13_ncr:1_{97AC1F77-396D-4B97-BF54-B358E37D2F3E}" xr6:coauthVersionLast="47" xr6:coauthVersionMax="47" xr10:uidLastSave="{00000000-0000-0000-0000-000000000000}"/>
  <bookViews>
    <workbookView xWindow="-108" yWindow="-108" windowWidth="23256" windowHeight="12456" tabRatio="500" firstSheet="1" activeTab="6" xr2:uid="{00000000-000D-0000-FFFF-FFFF00000000}"/>
  </bookViews>
  <sheets>
    <sheet name="README" sheetId="1" r:id="rId1"/>
    <sheet name="Thresholds" sheetId="2" r:id="rId2"/>
    <sheet name="Raw_Data" sheetId="3" r:id="rId3"/>
    <sheet name="Checks" sheetId="4" r:id="rId4"/>
    <sheet name="Summary" sheetId="5" r:id="rId5"/>
    <sheet name="Clean_Data" sheetId="6" r:id="rId6"/>
    <sheet name="Exceptions" sheetId="7" r:id="rId7"/>
    <sheet name="Run_Log" sheetId="8" r:id="rId8"/>
  </sheets>
  <definedNames>
    <definedName name="_xlnm._FilterDatabase" localSheetId="3" hidden="1">Checks!$A$1:$L$255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8" i="5" l="1"/>
  <c r="A9" i="5"/>
  <c r="A8" i="5"/>
  <c r="A7" i="5"/>
  <c r="A6" i="5"/>
  <c r="B2" i="5"/>
  <c r="L255" i="4"/>
  <c r="K255" i="4"/>
  <c r="F255" i="4"/>
  <c r="I255" i="4" s="1"/>
  <c r="E255" i="4"/>
  <c r="D255" i="4"/>
  <c r="C255" i="4"/>
  <c r="H255" i="4" s="1"/>
  <c r="B255" i="4"/>
  <c r="A255" i="4"/>
  <c r="L254" i="4"/>
  <c r="K254" i="4"/>
  <c r="F254" i="4"/>
  <c r="I254" i="4" s="1"/>
  <c r="E254" i="4"/>
  <c r="D254" i="4"/>
  <c r="C254" i="4"/>
  <c r="H254" i="4" s="1"/>
  <c r="B254" i="4"/>
  <c r="A254" i="4"/>
  <c r="L253" i="4"/>
  <c r="K253" i="4"/>
  <c r="J253" i="4"/>
  <c r="F253" i="4"/>
  <c r="I253" i="4" s="1"/>
  <c r="E253" i="4"/>
  <c r="D253" i="4"/>
  <c r="C253" i="4"/>
  <c r="H253" i="4" s="1"/>
  <c r="B253" i="4"/>
  <c r="A253" i="4"/>
  <c r="L252" i="4"/>
  <c r="K252" i="4"/>
  <c r="F252" i="4"/>
  <c r="I252" i="4" s="1"/>
  <c r="E252" i="4"/>
  <c r="D252" i="4"/>
  <c r="C252" i="4"/>
  <c r="B252" i="4"/>
  <c r="A252" i="4"/>
  <c r="L251" i="4"/>
  <c r="K251" i="4"/>
  <c r="F251" i="4"/>
  <c r="I251" i="4" s="1"/>
  <c r="E251" i="4"/>
  <c r="D251" i="4"/>
  <c r="C251" i="4"/>
  <c r="H251" i="4" s="1"/>
  <c r="B251" i="4"/>
  <c r="A251" i="4"/>
  <c r="L250" i="4"/>
  <c r="K250" i="4"/>
  <c r="F250" i="4"/>
  <c r="I250" i="4" s="1"/>
  <c r="E250" i="4"/>
  <c r="D250" i="4"/>
  <c r="C250" i="4"/>
  <c r="H250" i="4" s="1"/>
  <c r="B250" i="4"/>
  <c r="A250" i="4"/>
  <c r="L249" i="4"/>
  <c r="K249" i="4"/>
  <c r="F249" i="4"/>
  <c r="I249" i="4" s="1"/>
  <c r="E249" i="4"/>
  <c r="D249" i="4"/>
  <c r="C249" i="4"/>
  <c r="H249" i="4" s="1"/>
  <c r="B249" i="4"/>
  <c r="A249" i="4"/>
  <c r="L248" i="4"/>
  <c r="K248" i="4"/>
  <c r="F248" i="4"/>
  <c r="I248" i="4" s="1"/>
  <c r="E248" i="4"/>
  <c r="D248" i="4"/>
  <c r="C248" i="4"/>
  <c r="B248" i="4"/>
  <c r="A248" i="4"/>
  <c r="L247" i="4"/>
  <c r="K247" i="4"/>
  <c r="F247" i="4"/>
  <c r="I247" i="4" s="1"/>
  <c r="E247" i="4"/>
  <c r="D247" i="4"/>
  <c r="C247" i="4"/>
  <c r="H247" i="4" s="1"/>
  <c r="B247" i="4"/>
  <c r="A247" i="4"/>
  <c r="L246" i="4"/>
  <c r="K246" i="4"/>
  <c r="F246" i="4"/>
  <c r="I246" i="4" s="1"/>
  <c r="E246" i="4"/>
  <c r="D246" i="4"/>
  <c r="C246" i="4"/>
  <c r="H246" i="4" s="1"/>
  <c r="B246" i="4"/>
  <c r="A246" i="4"/>
  <c r="L245" i="4"/>
  <c r="K245" i="4"/>
  <c r="F245" i="4"/>
  <c r="I245" i="4" s="1"/>
  <c r="E245" i="4"/>
  <c r="D245" i="4"/>
  <c r="C245" i="4"/>
  <c r="H245" i="4" s="1"/>
  <c r="B245" i="4"/>
  <c r="A245" i="4"/>
  <c r="L244" i="4"/>
  <c r="K244" i="4"/>
  <c r="F244" i="4"/>
  <c r="I244" i="4" s="1"/>
  <c r="E244" i="4"/>
  <c r="D244" i="4"/>
  <c r="C244" i="4"/>
  <c r="B244" i="4"/>
  <c r="A244" i="4"/>
  <c r="L243" i="4"/>
  <c r="K243" i="4"/>
  <c r="F243" i="4"/>
  <c r="I243" i="4" s="1"/>
  <c r="E243" i="4"/>
  <c r="D243" i="4"/>
  <c r="C243" i="4"/>
  <c r="H243" i="4" s="1"/>
  <c r="B243" i="4"/>
  <c r="A243" i="4"/>
  <c r="L242" i="4"/>
  <c r="K242" i="4"/>
  <c r="F242" i="4"/>
  <c r="I242" i="4" s="1"/>
  <c r="E242" i="4"/>
  <c r="D242" i="4"/>
  <c r="C242" i="4"/>
  <c r="H242" i="4" s="1"/>
  <c r="B242" i="4"/>
  <c r="A242" i="4"/>
  <c r="L241" i="4"/>
  <c r="K241" i="4"/>
  <c r="F241" i="4"/>
  <c r="I241" i="4" s="1"/>
  <c r="E241" i="4"/>
  <c r="D241" i="4"/>
  <c r="C241" i="4"/>
  <c r="H241" i="4" s="1"/>
  <c r="B241" i="4"/>
  <c r="A241" i="4"/>
  <c r="L240" i="4"/>
  <c r="K240" i="4"/>
  <c r="F240" i="4"/>
  <c r="I240" i="4" s="1"/>
  <c r="E240" i="4"/>
  <c r="D240" i="4"/>
  <c r="C240" i="4"/>
  <c r="B240" i="4"/>
  <c r="A240" i="4"/>
  <c r="L239" i="4"/>
  <c r="K239" i="4"/>
  <c r="F239" i="4"/>
  <c r="I239" i="4" s="1"/>
  <c r="E239" i="4"/>
  <c r="D239" i="4"/>
  <c r="C239" i="4"/>
  <c r="H239" i="4" s="1"/>
  <c r="B239" i="4"/>
  <c r="A239" i="4"/>
  <c r="L238" i="4"/>
  <c r="K238" i="4"/>
  <c r="F238" i="4"/>
  <c r="E238" i="4"/>
  <c r="D238" i="4"/>
  <c r="C238" i="4"/>
  <c r="H238" i="4" s="1"/>
  <c r="B238" i="4"/>
  <c r="A238" i="4"/>
  <c r="L237" i="4"/>
  <c r="K237" i="4"/>
  <c r="F237" i="4"/>
  <c r="E237" i="4"/>
  <c r="D237" i="4"/>
  <c r="C237" i="4"/>
  <c r="H237" i="4" s="1"/>
  <c r="B237" i="4"/>
  <c r="A237" i="4"/>
  <c r="L236" i="4"/>
  <c r="K236" i="4"/>
  <c r="F236" i="4"/>
  <c r="E236" i="4"/>
  <c r="D236" i="4"/>
  <c r="C236" i="4"/>
  <c r="B236" i="4"/>
  <c r="A236" i="4"/>
  <c r="L235" i="4"/>
  <c r="K235" i="4"/>
  <c r="F235" i="4"/>
  <c r="E235" i="4"/>
  <c r="D235" i="4"/>
  <c r="C235" i="4"/>
  <c r="H235" i="4" s="1"/>
  <c r="B235" i="4"/>
  <c r="A235" i="4"/>
  <c r="L234" i="4"/>
  <c r="K234" i="4"/>
  <c r="F234" i="4"/>
  <c r="E234" i="4"/>
  <c r="D234" i="4"/>
  <c r="C234" i="4"/>
  <c r="H234" i="4" s="1"/>
  <c r="B234" i="4"/>
  <c r="A234" i="4"/>
  <c r="L233" i="4"/>
  <c r="K233" i="4"/>
  <c r="F233" i="4"/>
  <c r="E233" i="4"/>
  <c r="D233" i="4"/>
  <c r="C233" i="4"/>
  <c r="H233" i="4" s="1"/>
  <c r="B233" i="4"/>
  <c r="A233" i="4"/>
  <c r="L232" i="4"/>
  <c r="K232" i="4"/>
  <c r="F232" i="4"/>
  <c r="E232" i="4"/>
  <c r="D232" i="4"/>
  <c r="C232" i="4"/>
  <c r="B232" i="4"/>
  <c r="A232" i="4"/>
  <c r="L231" i="4"/>
  <c r="K231" i="4"/>
  <c r="F231" i="4"/>
  <c r="E231" i="4"/>
  <c r="D231" i="4"/>
  <c r="C231" i="4"/>
  <c r="H231" i="4" s="1"/>
  <c r="B231" i="4"/>
  <c r="A231" i="4"/>
  <c r="L230" i="4"/>
  <c r="K230" i="4"/>
  <c r="F230" i="4"/>
  <c r="E230" i="4"/>
  <c r="D230" i="4"/>
  <c r="C230" i="4"/>
  <c r="H230" i="4" s="1"/>
  <c r="B230" i="4"/>
  <c r="A230" i="4"/>
  <c r="L229" i="4"/>
  <c r="K229" i="4"/>
  <c r="F229" i="4"/>
  <c r="E229" i="4"/>
  <c r="D229" i="4"/>
  <c r="C229" i="4"/>
  <c r="H229" i="4" s="1"/>
  <c r="B229" i="4"/>
  <c r="A229" i="4"/>
  <c r="L228" i="4"/>
  <c r="K228" i="4"/>
  <c r="F228" i="4"/>
  <c r="E228" i="4"/>
  <c r="D228" i="4"/>
  <c r="C228" i="4"/>
  <c r="B228" i="4"/>
  <c r="A228" i="4"/>
  <c r="L227" i="4"/>
  <c r="K227" i="4"/>
  <c r="F227" i="4"/>
  <c r="E227" i="4"/>
  <c r="D227" i="4"/>
  <c r="C227" i="4"/>
  <c r="H227" i="4" s="1"/>
  <c r="B227" i="4"/>
  <c r="A227" i="4"/>
  <c r="L226" i="4"/>
  <c r="K226" i="4"/>
  <c r="F226" i="4"/>
  <c r="E226" i="4"/>
  <c r="D226" i="4"/>
  <c r="C226" i="4"/>
  <c r="H226" i="4" s="1"/>
  <c r="B226" i="4"/>
  <c r="A226" i="4"/>
  <c r="L225" i="4"/>
  <c r="K225" i="4"/>
  <c r="F225" i="4"/>
  <c r="E225" i="4"/>
  <c r="D225" i="4"/>
  <c r="C225" i="4"/>
  <c r="H225" i="4" s="1"/>
  <c r="B225" i="4"/>
  <c r="A225" i="4"/>
  <c r="L224" i="4"/>
  <c r="K224" i="4"/>
  <c r="F224" i="4"/>
  <c r="E224" i="4"/>
  <c r="D224" i="4"/>
  <c r="C224" i="4"/>
  <c r="B224" i="4"/>
  <c r="A224" i="4"/>
  <c r="L223" i="4"/>
  <c r="K223" i="4"/>
  <c r="F223" i="4"/>
  <c r="E223" i="4"/>
  <c r="D223" i="4"/>
  <c r="C223" i="4"/>
  <c r="H223" i="4" s="1"/>
  <c r="B223" i="4"/>
  <c r="A223" i="4"/>
  <c r="L222" i="4"/>
  <c r="K222" i="4"/>
  <c r="F222" i="4"/>
  <c r="E222" i="4"/>
  <c r="D222" i="4"/>
  <c r="C222" i="4"/>
  <c r="H222" i="4" s="1"/>
  <c r="B222" i="4"/>
  <c r="A222" i="4"/>
  <c r="L221" i="4"/>
  <c r="K221" i="4"/>
  <c r="F221" i="4"/>
  <c r="E221" i="4"/>
  <c r="D221" i="4"/>
  <c r="C221" i="4"/>
  <c r="H221" i="4" s="1"/>
  <c r="B221" i="4"/>
  <c r="A221" i="4"/>
  <c r="L220" i="4"/>
  <c r="K220" i="4"/>
  <c r="F220" i="4"/>
  <c r="E220" i="4"/>
  <c r="D220" i="4"/>
  <c r="C220" i="4"/>
  <c r="B220" i="4"/>
  <c r="A220" i="4"/>
  <c r="L219" i="4"/>
  <c r="K219" i="4"/>
  <c r="F219" i="4"/>
  <c r="E219" i="4"/>
  <c r="D219" i="4"/>
  <c r="C219" i="4"/>
  <c r="H219" i="4" s="1"/>
  <c r="B219" i="4"/>
  <c r="A219" i="4"/>
  <c r="L218" i="4"/>
  <c r="K218" i="4"/>
  <c r="F218" i="4"/>
  <c r="E218" i="4"/>
  <c r="D218" i="4"/>
  <c r="C218" i="4"/>
  <c r="H218" i="4" s="1"/>
  <c r="B218" i="4"/>
  <c r="A218" i="4"/>
  <c r="L217" i="4"/>
  <c r="K217" i="4"/>
  <c r="F217" i="4"/>
  <c r="E217" i="4"/>
  <c r="D217" i="4"/>
  <c r="C217" i="4"/>
  <c r="B217" i="4"/>
  <c r="A217" i="4"/>
  <c r="L216" i="4"/>
  <c r="K216" i="4"/>
  <c r="F216" i="4"/>
  <c r="E216" i="4"/>
  <c r="D216" i="4"/>
  <c r="C216" i="4"/>
  <c r="B216" i="4"/>
  <c r="A216" i="4"/>
  <c r="L215" i="4"/>
  <c r="K215" i="4"/>
  <c r="F215" i="4"/>
  <c r="E215" i="4"/>
  <c r="D215" i="4"/>
  <c r="C215" i="4"/>
  <c r="B215" i="4"/>
  <c r="A215" i="4"/>
  <c r="L214" i="4"/>
  <c r="K214" i="4"/>
  <c r="F214" i="4"/>
  <c r="E214" i="4"/>
  <c r="D214" i="4"/>
  <c r="C214" i="4"/>
  <c r="H214" i="4" s="1"/>
  <c r="B214" i="4"/>
  <c r="A214" i="4"/>
  <c r="L213" i="4"/>
  <c r="K213" i="4"/>
  <c r="F213" i="4"/>
  <c r="E213" i="4"/>
  <c r="D213" i="4"/>
  <c r="C213" i="4"/>
  <c r="B213" i="4"/>
  <c r="A213" i="4"/>
  <c r="L212" i="4"/>
  <c r="K212" i="4"/>
  <c r="F212" i="4"/>
  <c r="E212" i="4"/>
  <c r="D212" i="4"/>
  <c r="C212" i="4"/>
  <c r="B212" i="4"/>
  <c r="A212" i="4"/>
  <c r="L211" i="4"/>
  <c r="K211" i="4"/>
  <c r="F211" i="4"/>
  <c r="E211" i="4"/>
  <c r="D211" i="4"/>
  <c r="C211" i="4"/>
  <c r="B211" i="4"/>
  <c r="A211" i="4"/>
  <c r="L210" i="4"/>
  <c r="K210" i="4"/>
  <c r="F210" i="4"/>
  <c r="E210" i="4"/>
  <c r="D210" i="4"/>
  <c r="C210" i="4"/>
  <c r="B210" i="4"/>
  <c r="A210" i="4"/>
  <c r="L209" i="4"/>
  <c r="K209" i="4"/>
  <c r="F209" i="4"/>
  <c r="E209" i="4"/>
  <c r="D209" i="4"/>
  <c r="C209" i="4"/>
  <c r="B209" i="4"/>
  <c r="A209" i="4"/>
  <c r="L208" i="4"/>
  <c r="K208" i="4"/>
  <c r="F208" i="4"/>
  <c r="E208" i="4"/>
  <c r="D208" i="4"/>
  <c r="C208" i="4"/>
  <c r="B208" i="4"/>
  <c r="A208" i="4"/>
  <c r="L207" i="4"/>
  <c r="K207" i="4"/>
  <c r="F207" i="4"/>
  <c r="E207" i="4"/>
  <c r="D207" i="4"/>
  <c r="C207" i="4"/>
  <c r="B207" i="4"/>
  <c r="A207" i="4"/>
  <c r="L206" i="4"/>
  <c r="K206" i="4"/>
  <c r="F206" i="4"/>
  <c r="E206" i="4"/>
  <c r="D206" i="4"/>
  <c r="C206" i="4"/>
  <c r="B206" i="4"/>
  <c r="A206" i="4"/>
  <c r="L205" i="4"/>
  <c r="K205" i="4"/>
  <c r="F205" i="4"/>
  <c r="E205" i="4"/>
  <c r="D205" i="4"/>
  <c r="C205" i="4"/>
  <c r="B205" i="4"/>
  <c r="A205" i="4"/>
  <c r="L204" i="4"/>
  <c r="K204" i="4"/>
  <c r="F204" i="4"/>
  <c r="E204" i="4"/>
  <c r="D204" i="4"/>
  <c r="C204" i="4"/>
  <c r="B204" i="4"/>
  <c r="A204" i="4"/>
  <c r="L203" i="4"/>
  <c r="K203" i="4"/>
  <c r="F203" i="4"/>
  <c r="E203" i="4"/>
  <c r="D203" i="4"/>
  <c r="C203" i="4"/>
  <c r="B203" i="4"/>
  <c r="A203" i="4"/>
  <c r="L202" i="4"/>
  <c r="K202" i="4"/>
  <c r="F202" i="4"/>
  <c r="E202" i="4"/>
  <c r="D202" i="4"/>
  <c r="C202" i="4"/>
  <c r="B202" i="4"/>
  <c r="A202" i="4"/>
  <c r="L201" i="4"/>
  <c r="K201" i="4"/>
  <c r="F201" i="4"/>
  <c r="E201" i="4"/>
  <c r="D201" i="4"/>
  <c r="C201" i="4"/>
  <c r="B201" i="4"/>
  <c r="A201" i="4"/>
  <c r="L200" i="4"/>
  <c r="K200" i="4"/>
  <c r="F200" i="4"/>
  <c r="E200" i="4"/>
  <c r="D200" i="4"/>
  <c r="C200" i="4"/>
  <c r="B200" i="4"/>
  <c r="A200" i="4"/>
  <c r="L199" i="4"/>
  <c r="K199" i="4"/>
  <c r="F199" i="4"/>
  <c r="E199" i="4"/>
  <c r="D199" i="4"/>
  <c r="C199" i="4"/>
  <c r="B199" i="4"/>
  <c r="A199" i="4"/>
  <c r="L198" i="4"/>
  <c r="K198" i="4"/>
  <c r="F198" i="4"/>
  <c r="E198" i="4"/>
  <c r="D198" i="4"/>
  <c r="C198" i="4"/>
  <c r="B198" i="4"/>
  <c r="A198" i="4"/>
  <c r="L197" i="4"/>
  <c r="K197" i="4"/>
  <c r="F197" i="4"/>
  <c r="E197" i="4"/>
  <c r="D197" i="4"/>
  <c r="C197" i="4"/>
  <c r="B197" i="4"/>
  <c r="A197" i="4"/>
  <c r="L196" i="4"/>
  <c r="K196" i="4"/>
  <c r="F196" i="4"/>
  <c r="E196" i="4"/>
  <c r="D196" i="4"/>
  <c r="C196" i="4"/>
  <c r="B196" i="4"/>
  <c r="A196" i="4"/>
  <c r="L195" i="4"/>
  <c r="K195" i="4"/>
  <c r="F195" i="4"/>
  <c r="E195" i="4"/>
  <c r="D195" i="4"/>
  <c r="C195" i="4"/>
  <c r="B195" i="4"/>
  <c r="A195" i="4"/>
  <c r="L194" i="4"/>
  <c r="K194" i="4"/>
  <c r="F194" i="4"/>
  <c r="E194" i="4"/>
  <c r="D194" i="4"/>
  <c r="C194" i="4"/>
  <c r="B194" i="4"/>
  <c r="A194" i="4"/>
  <c r="L193" i="4"/>
  <c r="K193" i="4"/>
  <c r="F193" i="4"/>
  <c r="E193" i="4"/>
  <c r="D193" i="4"/>
  <c r="C193" i="4"/>
  <c r="B193" i="4"/>
  <c r="A193" i="4"/>
  <c r="L192" i="4"/>
  <c r="K192" i="4"/>
  <c r="F192" i="4"/>
  <c r="E192" i="4"/>
  <c r="D192" i="4"/>
  <c r="C192" i="4"/>
  <c r="B192" i="4"/>
  <c r="A192" i="4"/>
  <c r="L191" i="4"/>
  <c r="K191" i="4"/>
  <c r="F191" i="4"/>
  <c r="E191" i="4"/>
  <c r="D191" i="4"/>
  <c r="C191" i="4"/>
  <c r="B191" i="4"/>
  <c r="A191" i="4"/>
  <c r="L190" i="4"/>
  <c r="K190" i="4"/>
  <c r="F190" i="4"/>
  <c r="E190" i="4"/>
  <c r="D190" i="4"/>
  <c r="C190" i="4"/>
  <c r="B190" i="4"/>
  <c r="A190" i="4"/>
  <c r="L189" i="4"/>
  <c r="K189" i="4"/>
  <c r="F189" i="4"/>
  <c r="E189" i="4"/>
  <c r="D189" i="4"/>
  <c r="C189" i="4"/>
  <c r="B189" i="4"/>
  <c r="A189" i="4"/>
  <c r="L188" i="4"/>
  <c r="K188" i="4"/>
  <c r="F188" i="4"/>
  <c r="E188" i="4"/>
  <c r="D188" i="4"/>
  <c r="C188" i="4"/>
  <c r="B188" i="4"/>
  <c r="A188" i="4"/>
  <c r="L187" i="4"/>
  <c r="K187" i="4"/>
  <c r="F187" i="4"/>
  <c r="E187" i="4"/>
  <c r="D187" i="4"/>
  <c r="C187" i="4"/>
  <c r="B187" i="4"/>
  <c r="A187" i="4"/>
  <c r="L186" i="4"/>
  <c r="K186" i="4"/>
  <c r="F186" i="4"/>
  <c r="E186" i="4"/>
  <c r="D186" i="4"/>
  <c r="C186" i="4"/>
  <c r="B186" i="4"/>
  <c r="A186" i="4"/>
  <c r="L185" i="4"/>
  <c r="K185" i="4"/>
  <c r="F185" i="4"/>
  <c r="E185" i="4"/>
  <c r="D185" i="4"/>
  <c r="C185" i="4"/>
  <c r="B185" i="4"/>
  <c r="A185" i="4"/>
  <c r="L184" i="4"/>
  <c r="K184" i="4"/>
  <c r="F184" i="4"/>
  <c r="E184" i="4"/>
  <c r="D184" i="4"/>
  <c r="C184" i="4"/>
  <c r="B184" i="4"/>
  <c r="A184" i="4"/>
  <c r="L183" i="4"/>
  <c r="K183" i="4"/>
  <c r="F183" i="4"/>
  <c r="E183" i="4"/>
  <c r="D183" i="4"/>
  <c r="C183" i="4"/>
  <c r="B183" i="4"/>
  <c r="A183" i="4"/>
  <c r="L182" i="4"/>
  <c r="K182" i="4"/>
  <c r="F182" i="4"/>
  <c r="E182" i="4"/>
  <c r="D182" i="4"/>
  <c r="C182" i="4"/>
  <c r="B182" i="4"/>
  <c r="A182" i="4"/>
  <c r="L181" i="4"/>
  <c r="K181" i="4"/>
  <c r="F181" i="4"/>
  <c r="E181" i="4"/>
  <c r="D181" i="4"/>
  <c r="C181" i="4"/>
  <c r="B181" i="4"/>
  <c r="A181" i="4"/>
  <c r="L180" i="4"/>
  <c r="K180" i="4"/>
  <c r="F180" i="4"/>
  <c r="E180" i="4"/>
  <c r="D180" i="4"/>
  <c r="C180" i="4"/>
  <c r="B180" i="4"/>
  <c r="A180" i="4"/>
  <c r="L179" i="4"/>
  <c r="K179" i="4"/>
  <c r="I179" i="4"/>
  <c r="G179" i="4"/>
  <c r="F179" i="4"/>
  <c r="E179" i="4"/>
  <c r="D179" i="4"/>
  <c r="C179" i="4"/>
  <c r="H179" i="4" s="1"/>
  <c r="B179" i="4"/>
  <c r="A179" i="4"/>
  <c r="L178" i="4"/>
  <c r="K178" i="4"/>
  <c r="H178" i="4"/>
  <c r="F178" i="4"/>
  <c r="E178" i="4"/>
  <c r="G178" i="4" s="1"/>
  <c r="J178" i="4" s="1"/>
  <c r="D178" i="4"/>
  <c r="C178" i="4"/>
  <c r="B178" i="4"/>
  <c r="A178" i="4"/>
  <c r="L177" i="4"/>
  <c r="K177" i="4"/>
  <c r="H177" i="4"/>
  <c r="G177" i="4"/>
  <c r="J177" i="4" s="1"/>
  <c r="F177" i="4"/>
  <c r="E177" i="4"/>
  <c r="D177" i="4"/>
  <c r="C177" i="4"/>
  <c r="B177" i="4"/>
  <c r="A177" i="4"/>
  <c r="L176" i="4"/>
  <c r="K176" i="4"/>
  <c r="H176" i="4"/>
  <c r="F176" i="4"/>
  <c r="I176" i="4" s="1"/>
  <c r="E176" i="4"/>
  <c r="G176" i="4" s="1"/>
  <c r="J176" i="4" s="1"/>
  <c r="D176" i="4"/>
  <c r="C176" i="4"/>
  <c r="B176" i="4"/>
  <c r="A176" i="4"/>
  <c r="L175" i="4"/>
  <c r="K175" i="4"/>
  <c r="J175" i="4"/>
  <c r="H175" i="4"/>
  <c r="F175" i="4"/>
  <c r="E175" i="4"/>
  <c r="G175" i="4" s="1"/>
  <c r="D175" i="4"/>
  <c r="C175" i="4"/>
  <c r="B175" i="4"/>
  <c r="A175" i="4"/>
  <c r="L174" i="4"/>
  <c r="K174" i="4"/>
  <c r="H174" i="4"/>
  <c r="G174" i="4"/>
  <c r="J174" i="4" s="1"/>
  <c r="F174" i="4"/>
  <c r="E174" i="4"/>
  <c r="D174" i="4"/>
  <c r="C174" i="4"/>
  <c r="B174" i="4"/>
  <c r="A174" i="4"/>
  <c r="L173" i="4"/>
  <c r="K173" i="4"/>
  <c r="H173" i="4"/>
  <c r="G173" i="4"/>
  <c r="J173" i="4" s="1"/>
  <c r="F173" i="4"/>
  <c r="I173" i="4" s="1"/>
  <c r="E173" i="4"/>
  <c r="D173" i="4"/>
  <c r="C173" i="4"/>
  <c r="B173" i="4"/>
  <c r="A173" i="4"/>
  <c r="L172" i="4"/>
  <c r="K172" i="4"/>
  <c r="H172" i="4"/>
  <c r="F172" i="4"/>
  <c r="E172" i="4"/>
  <c r="G172" i="4" s="1"/>
  <c r="J172" i="4" s="1"/>
  <c r="D172" i="4"/>
  <c r="C172" i="4"/>
  <c r="B172" i="4"/>
  <c r="A172" i="4"/>
  <c r="L171" i="4"/>
  <c r="K171" i="4"/>
  <c r="J171" i="4"/>
  <c r="H171" i="4"/>
  <c r="F171" i="4"/>
  <c r="E171" i="4"/>
  <c r="G171" i="4" s="1"/>
  <c r="D171" i="4"/>
  <c r="C171" i="4"/>
  <c r="B171" i="4"/>
  <c r="A171" i="4"/>
  <c r="L170" i="4"/>
  <c r="K170" i="4"/>
  <c r="H170" i="4"/>
  <c r="G170" i="4"/>
  <c r="J170" i="4" s="1"/>
  <c r="F170" i="4"/>
  <c r="E170" i="4"/>
  <c r="D170" i="4"/>
  <c r="C170" i="4"/>
  <c r="B170" i="4"/>
  <c r="A170" i="4"/>
  <c r="L169" i="4"/>
  <c r="K169" i="4"/>
  <c r="H169" i="4"/>
  <c r="G169" i="4"/>
  <c r="J169" i="4" s="1"/>
  <c r="F169" i="4"/>
  <c r="I169" i="4" s="1"/>
  <c r="E169" i="4"/>
  <c r="D169" i="4"/>
  <c r="C169" i="4"/>
  <c r="B169" i="4"/>
  <c r="A169" i="4"/>
  <c r="L168" i="4"/>
  <c r="K168" i="4"/>
  <c r="H168" i="4"/>
  <c r="F168" i="4"/>
  <c r="I168" i="4" s="1"/>
  <c r="E168" i="4"/>
  <c r="G168" i="4" s="1"/>
  <c r="J168" i="4" s="1"/>
  <c r="D168" i="4"/>
  <c r="C168" i="4"/>
  <c r="B168" i="4"/>
  <c r="A168" i="4"/>
  <c r="L167" i="4"/>
  <c r="K167" i="4"/>
  <c r="H167" i="4"/>
  <c r="F167" i="4"/>
  <c r="E167" i="4"/>
  <c r="G167" i="4" s="1"/>
  <c r="J167" i="4" s="1"/>
  <c r="D167" i="4"/>
  <c r="C167" i="4"/>
  <c r="B167" i="4"/>
  <c r="A167" i="4"/>
  <c r="L166" i="4"/>
  <c r="K166" i="4"/>
  <c r="H166" i="4"/>
  <c r="F166" i="4"/>
  <c r="E166" i="4"/>
  <c r="G166" i="4" s="1"/>
  <c r="J166" i="4" s="1"/>
  <c r="D166" i="4"/>
  <c r="C166" i="4"/>
  <c r="B166" i="4"/>
  <c r="A166" i="4"/>
  <c r="L165" i="4"/>
  <c r="K165" i="4"/>
  <c r="H165" i="4"/>
  <c r="G165" i="4"/>
  <c r="J165" i="4" s="1"/>
  <c r="F165" i="4"/>
  <c r="E165" i="4"/>
  <c r="D165" i="4"/>
  <c r="C165" i="4"/>
  <c r="B165" i="4"/>
  <c r="A165" i="4"/>
  <c r="L164" i="4"/>
  <c r="K164" i="4"/>
  <c r="F164" i="4"/>
  <c r="I164" i="4" s="1"/>
  <c r="E164" i="4"/>
  <c r="G164" i="4" s="1"/>
  <c r="D164" i="4"/>
  <c r="C164" i="4"/>
  <c r="H164" i="4" s="1"/>
  <c r="J164" i="4" s="1"/>
  <c r="B164" i="4"/>
  <c r="A164" i="4"/>
  <c r="L163" i="4"/>
  <c r="K163" i="4"/>
  <c r="H163" i="4"/>
  <c r="F163" i="4"/>
  <c r="E163" i="4"/>
  <c r="G163" i="4" s="1"/>
  <c r="J163" i="4" s="1"/>
  <c r="D163" i="4"/>
  <c r="C163" i="4"/>
  <c r="B163" i="4"/>
  <c r="A163" i="4"/>
  <c r="L162" i="4"/>
  <c r="K162" i="4"/>
  <c r="H162" i="4"/>
  <c r="G162" i="4"/>
  <c r="F162" i="4"/>
  <c r="E162" i="4"/>
  <c r="D162" i="4"/>
  <c r="C162" i="4"/>
  <c r="J162" i="4" s="1"/>
  <c r="B162" i="4"/>
  <c r="A162" i="4"/>
  <c r="L161" i="4"/>
  <c r="K161" i="4"/>
  <c r="G161" i="4"/>
  <c r="F161" i="4"/>
  <c r="I161" i="4" s="1"/>
  <c r="E161" i="4"/>
  <c r="D161" i="4"/>
  <c r="C161" i="4"/>
  <c r="B161" i="4"/>
  <c r="A161" i="4"/>
  <c r="L160" i="4"/>
  <c r="K160" i="4"/>
  <c r="F160" i="4"/>
  <c r="E160" i="4"/>
  <c r="G160" i="4" s="1"/>
  <c r="J160" i="4" s="1"/>
  <c r="D160" i="4"/>
  <c r="C160" i="4"/>
  <c r="H160" i="4" s="1"/>
  <c r="B160" i="4"/>
  <c r="A160" i="4"/>
  <c r="L159" i="4"/>
  <c r="K159" i="4"/>
  <c r="H159" i="4"/>
  <c r="F159" i="4"/>
  <c r="E159" i="4"/>
  <c r="G159" i="4" s="1"/>
  <c r="J159" i="4" s="1"/>
  <c r="D159" i="4"/>
  <c r="C159" i="4"/>
  <c r="B159" i="4"/>
  <c r="A159" i="4"/>
  <c r="L158" i="4"/>
  <c r="K158" i="4"/>
  <c r="H158" i="4"/>
  <c r="G158" i="4"/>
  <c r="F158" i="4"/>
  <c r="E158" i="4"/>
  <c r="D158" i="4"/>
  <c r="C158" i="4"/>
  <c r="B158" i="4"/>
  <c r="A158" i="4"/>
  <c r="L157" i="4"/>
  <c r="K157" i="4"/>
  <c r="G157" i="4"/>
  <c r="F157" i="4"/>
  <c r="I157" i="4" s="1"/>
  <c r="E157" i="4"/>
  <c r="D157" i="4"/>
  <c r="C157" i="4"/>
  <c r="B157" i="4"/>
  <c r="A157" i="4"/>
  <c r="L156" i="4"/>
  <c r="K156" i="4"/>
  <c r="G156" i="4"/>
  <c r="F156" i="4"/>
  <c r="I156" i="4" s="1"/>
  <c r="E156" i="4"/>
  <c r="D156" i="4"/>
  <c r="C156" i="4"/>
  <c r="J156" i="4" s="1"/>
  <c r="B156" i="4"/>
  <c r="A156" i="4"/>
  <c r="L155" i="4"/>
  <c r="K155" i="4"/>
  <c r="J155" i="4"/>
  <c r="H155" i="4"/>
  <c r="F155" i="4"/>
  <c r="E155" i="4"/>
  <c r="G155" i="4" s="1"/>
  <c r="D155" i="4"/>
  <c r="C155" i="4"/>
  <c r="B155" i="4"/>
  <c r="A155" i="4"/>
  <c r="L154" i="4"/>
  <c r="K154" i="4"/>
  <c r="F154" i="4"/>
  <c r="E154" i="4"/>
  <c r="G154" i="4" s="1"/>
  <c r="D154" i="4"/>
  <c r="C154" i="4"/>
  <c r="B154" i="4"/>
  <c r="A154" i="4"/>
  <c r="L153" i="4"/>
  <c r="K153" i="4"/>
  <c r="G153" i="4"/>
  <c r="F153" i="4"/>
  <c r="E153" i="4"/>
  <c r="D153" i="4"/>
  <c r="C153" i="4"/>
  <c r="B153" i="4"/>
  <c r="A153" i="4"/>
  <c r="L152" i="4"/>
  <c r="K152" i="4"/>
  <c r="G152" i="4"/>
  <c r="F152" i="4"/>
  <c r="I152" i="4" s="1"/>
  <c r="E152" i="4"/>
  <c r="D152" i="4"/>
  <c r="C152" i="4"/>
  <c r="H152" i="4" s="1"/>
  <c r="J152" i="4" s="1"/>
  <c r="B152" i="4"/>
  <c r="A152" i="4"/>
  <c r="L151" i="4"/>
  <c r="K151" i="4"/>
  <c r="H151" i="4"/>
  <c r="F151" i="4"/>
  <c r="E151" i="4"/>
  <c r="G151" i="4" s="1"/>
  <c r="J151" i="4" s="1"/>
  <c r="D151" i="4"/>
  <c r="C151" i="4"/>
  <c r="B151" i="4"/>
  <c r="A151" i="4"/>
  <c r="L150" i="4"/>
  <c r="K150" i="4"/>
  <c r="J150" i="4"/>
  <c r="H150" i="4"/>
  <c r="G150" i="4"/>
  <c r="F150" i="4"/>
  <c r="I150" i="4" s="1"/>
  <c r="E150" i="4"/>
  <c r="D150" i="4"/>
  <c r="C150" i="4"/>
  <c r="B150" i="4"/>
  <c r="A150" i="4"/>
  <c r="L149" i="4"/>
  <c r="K149" i="4"/>
  <c r="G149" i="4"/>
  <c r="F149" i="4"/>
  <c r="I149" i="4" s="1"/>
  <c r="E149" i="4"/>
  <c r="D149" i="4"/>
  <c r="C149" i="4"/>
  <c r="H149" i="4" s="1"/>
  <c r="B149" i="4"/>
  <c r="A149" i="4"/>
  <c r="L148" i="4"/>
  <c r="K148" i="4"/>
  <c r="F148" i="4"/>
  <c r="E148" i="4"/>
  <c r="G148" i="4" s="1"/>
  <c r="J148" i="4" s="1"/>
  <c r="D148" i="4"/>
  <c r="C148" i="4"/>
  <c r="H148" i="4" s="1"/>
  <c r="B148" i="4"/>
  <c r="A148" i="4"/>
  <c r="L147" i="4"/>
  <c r="K147" i="4"/>
  <c r="H147" i="4"/>
  <c r="F147" i="4"/>
  <c r="I147" i="4" s="1"/>
  <c r="E147" i="4"/>
  <c r="G147" i="4" s="1"/>
  <c r="J147" i="4" s="1"/>
  <c r="D147" i="4"/>
  <c r="C147" i="4"/>
  <c r="B147" i="4"/>
  <c r="A147" i="4"/>
  <c r="L146" i="4"/>
  <c r="K146" i="4"/>
  <c r="H146" i="4"/>
  <c r="G146" i="4"/>
  <c r="F146" i="4"/>
  <c r="E146" i="4"/>
  <c r="D146" i="4"/>
  <c r="C146" i="4"/>
  <c r="B146" i="4"/>
  <c r="A146" i="4"/>
  <c r="L145" i="4"/>
  <c r="K145" i="4"/>
  <c r="G145" i="4"/>
  <c r="F145" i="4"/>
  <c r="I145" i="4" s="1"/>
  <c r="E145" i="4"/>
  <c r="D145" i="4"/>
  <c r="C145" i="4"/>
  <c r="B145" i="4"/>
  <c r="A145" i="4"/>
  <c r="L144" i="4"/>
  <c r="K144" i="4"/>
  <c r="F144" i="4"/>
  <c r="I144" i="4" s="1"/>
  <c r="E144" i="4"/>
  <c r="G144" i="4" s="1"/>
  <c r="D144" i="4"/>
  <c r="C144" i="4"/>
  <c r="B144" i="4"/>
  <c r="A144" i="4"/>
  <c r="L143" i="4"/>
  <c r="K143" i="4"/>
  <c r="H143" i="4"/>
  <c r="F143" i="4"/>
  <c r="E143" i="4"/>
  <c r="G143" i="4" s="1"/>
  <c r="J143" i="4" s="1"/>
  <c r="D143" i="4"/>
  <c r="C143" i="4"/>
  <c r="B143" i="4"/>
  <c r="A143" i="4"/>
  <c r="L142" i="4"/>
  <c r="K142" i="4"/>
  <c r="H142" i="4"/>
  <c r="F142" i="4"/>
  <c r="E142" i="4"/>
  <c r="G142" i="4" s="1"/>
  <c r="D142" i="4"/>
  <c r="C142" i="4"/>
  <c r="B142" i="4"/>
  <c r="A142" i="4"/>
  <c r="L141" i="4"/>
  <c r="K141" i="4"/>
  <c r="G141" i="4"/>
  <c r="F141" i="4"/>
  <c r="E141" i="4"/>
  <c r="D141" i="4"/>
  <c r="C141" i="4"/>
  <c r="B141" i="4"/>
  <c r="A141" i="4"/>
  <c r="L140" i="4"/>
  <c r="K140" i="4"/>
  <c r="G140" i="4"/>
  <c r="F140" i="4"/>
  <c r="I140" i="4" s="1"/>
  <c r="E140" i="4"/>
  <c r="D140" i="4"/>
  <c r="C140" i="4"/>
  <c r="H140" i="4" s="1"/>
  <c r="J140" i="4" s="1"/>
  <c r="B140" i="4"/>
  <c r="A140" i="4"/>
  <c r="L139" i="4"/>
  <c r="K139" i="4"/>
  <c r="H139" i="4"/>
  <c r="F139" i="4"/>
  <c r="E139" i="4"/>
  <c r="G139" i="4" s="1"/>
  <c r="J139" i="4" s="1"/>
  <c r="D139" i="4"/>
  <c r="C139" i="4"/>
  <c r="B139" i="4"/>
  <c r="A139" i="4"/>
  <c r="L138" i="4"/>
  <c r="K138" i="4"/>
  <c r="H138" i="4"/>
  <c r="J138" i="4" s="1"/>
  <c r="G138" i="4"/>
  <c r="F138" i="4"/>
  <c r="E138" i="4"/>
  <c r="D138" i="4"/>
  <c r="C138" i="4"/>
  <c r="B138" i="4"/>
  <c r="A138" i="4"/>
  <c r="L137" i="4"/>
  <c r="K137" i="4"/>
  <c r="G137" i="4"/>
  <c r="F137" i="4"/>
  <c r="I137" i="4" s="1"/>
  <c r="E137" i="4"/>
  <c r="D137" i="4"/>
  <c r="C137" i="4"/>
  <c r="B137" i="4"/>
  <c r="A137" i="4"/>
  <c r="L136" i="4"/>
  <c r="K136" i="4"/>
  <c r="J136" i="4"/>
  <c r="G136" i="4"/>
  <c r="F136" i="4"/>
  <c r="E136" i="4"/>
  <c r="D136" i="4"/>
  <c r="C136" i="4"/>
  <c r="H136" i="4" s="1"/>
  <c r="B136" i="4"/>
  <c r="A136" i="4"/>
  <c r="L135" i="4"/>
  <c r="K135" i="4"/>
  <c r="H135" i="4"/>
  <c r="F135" i="4"/>
  <c r="I135" i="4" s="1"/>
  <c r="E135" i="4"/>
  <c r="G135" i="4" s="1"/>
  <c r="J135" i="4" s="1"/>
  <c r="D135" i="4"/>
  <c r="C135" i="4"/>
  <c r="B135" i="4"/>
  <c r="A135" i="4"/>
  <c r="L134" i="4"/>
  <c r="K134" i="4"/>
  <c r="H134" i="4"/>
  <c r="F134" i="4"/>
  <c r="E134" i="4"/>
  <c r="G134" i="4" s="1"/>
  <c r="J134" i="4" s="1"/>
  <c r="D134" i="4"/>
  <c r="C134" i="4"/>
  <c r="B134" i="4"/>
  <c r="A134" i="4"/>
  <c r="L133" i="4"/>
  <c r="K133" i="4"/>
  <c r="G133" i="4"/>
  <c r="F133" i="4"/>
  <c r="E133" i="4"/>
  <c r="D133" i="4"/>
  <c r="C133" i="4"/>
  <c r="H133" i="4" s="1"/>
  <c r="B133" i="4"/>
  <c r="A133" i="4"/>
  <c r="L132" i="4"/>
  <c r="K132" i="4"/>
  <c r="G132" i="4"/>
  <c r="F132" i="4"/>
  <c r="I132" i="4" s="1"/>
  <c r="E132" i="4"/>
  <c r="D132" i="4"/>
  <c r="C132" i="4"/>
  <c r="B132" i="4"/>
  <c r="A132" i="4"/>
  <c r="L131" i="4"/>
  <c r="K131" i="4"/>
  <c r="H131" i="4"/>
  <c r="F131" i="4"/>
  <c r="I131" i="4" s="1"/>
  <c r="E131" i="4"/>
  <c r="G131" i="4" s="1"/>
  <c r="J131" i="4" s="1"/>
  <c r="D131" i="4"/>
  <c r="C131" i="4"/>
  <c r="B131" i="4"/>
  <c r="A131" i="4"/>
  <c r="L130" i="4"/>
  <c r="K130" i="4"/>
  <c r="F130" i="4"/>
  <c r="E130" i="4"/>
  <c r="G130" i="4" s="1"/>
  <c r="D130" i="4"/>
  <c r="C130" i="4"/>
  <c r="B130" i="4"/>
  <c r="A130" i="4"/>
  <c r="L129" i="4"/>
  <c r="K129" i="4"/>
  <c r="G129" i="4"/>
  <c r="F129" i="4"/>
  <c r="E129" i="4"/>
  <c r="D129" i="4"/>
  <c r="C129" i="4"/>
  <c r="B129" i="4"/>
  <c r="A129" i="4"/>
  <c r="L128" i="4"/>
  <c r="K128" i="4"/>
  <c r="J128" i="4"/>
  <c r="G128" i="4"/>
  <c r="F128" i="4"/>
  <c r="I128" i="4" s="1"/>
  <c r="E128" i="4"/>
  <c r="D128" i="4"/>
  <c r="C128" i="4"/>
  <c r="H128" i="4" s="1"/>
  <c r="B128" i="4"/>
  <c r="A128" i="4"/>
  <c r="L127" i="4"/>
  <c r="K127" i="4"/>
  <c r="J127" i="4"/>
  <c r="H127" i="4"/>
  <c r="F127" i="4"/>
  <c r="E127" i="4"/>
  <c r="G127" i="4" s="1"/>
  <c r="D127" i="4"/>
  <c r="C127" i="4"/>
  <c r="B127" i="4"/>
  <c r="A127" i="4"/>
  <c r="L126" i="4"/>
  <c r="K126" i="4"/>
  <c r="H126" i="4"/>
  <c r="G126" i="4"/>
  <c r="J126" i="4" s="1"/>
  <c r="F126" i="4"/>
  <c r="E126" i="4"/>
  <c r="D126" i="4"/>
  <c r="C126" i="4"/>
  <c r="B126" i="4"/>
  <c r="A126" i="4"/>
  <c r="L125" i="4"/>
  <c r="K125" i="4"/>
  <c r="G125" i="4"/>
  <c r="F125" i="4"/>
  <c r="I125" i="4" s="1"/>
  <c r="E125" i="4"/>
  <c r="D125" i="4"/>
  <c r="C125" i="4"/>
  <c r="B125" i="4"/>
  <c r="A125" i="4"/>
  <c r="L124" i="4"/>
  <c r="K124" i="4"/>
  <c r="G124" i="4"/>
  <c r="J124" i="4" s="1"/>
  <c r="F124" i="4"/>
  <c r="I124" i="4" s="1"/>
  <c r="E124" i="4"/>
  <c r="D124" i="4"/>
  <c r="C124" i="4"/>
  <c r="H124" i="4" s="1"/>
  <c r="B124" i="4"/>
  <c r="A124" i="4"/>
  <c r="L123" i="4"/>
  <c r="K123" i="4"/>
  <c r="H123" i="4"/>
  <c r="F123" i="4"/>
  <c r="E123" i="4"/>
  <c r="G123" i="4" s="1"/>
  <c r="J123" i="4" s="1"/>
  <c r="D123" i="4"/>
  <c r="C123" i="4"/>
  <c r="B123" i="4"/>
  <c r="A123" i="4"/>
  <c r="L122" i="4"/>
  <c r="K122" i="4"/>
  <c r="F122" i="4"/>
  <c r="E122" i="4"/>
  <c r="G122" i="4" s="1"/>
  <c r="D122" i="4"/>
  <c r="C122" i="4"/>
  <c r="H122" i="4" s="1"/>
  <c r="B122" i="4"/>
  <c r="A122" i="4"/>
  <c r="L121" i="4"/>
  <c r="K121" i="4"/>
  <c r="H121" i="4"/>
  <c r="G121" i="4"/>
  <c r="F121" i="4"/>
  <c r="E121" i="4"/>
  <c r="D121" i="4"/>
  <c r="C121" i="4"/>
  <c r="B121" i="4"/>
  <c r="A121" i="4"/>
  <c r="L120" i="4"/>
  <c r="K120" i="4"/>
  <c r="G120" i="4"/>
  <c r="F120" i="4"/>
  <c r="E120" i="4"/>
  <c r="D120" i="4"/>
  <c r="C120" i="4"/>
  <c r="B120" i="4"/>
  <c r="A120" i="4"/>
  <c r="L119" i="4"/>
  <c r="K119" i="4"/>
  <c r="H119" i="4"/>
  <c r="F119" i="4"/>
  <c r="E119" i="4"/>
  <c r="D119" i="4"/>
  <c r="C119" i="4"/>
  <c r="B119" i="4"/>
  <c r="A119" i="4"/>
  <c r="L118" i="4"/>
  <c r="K118" i="4"/>
  <c r="H118" i="4"/>
  <c r="F118" i="4"/>
  <c r="E118" i="4"/>
  <c r="G118" i="4" s="1"/>
  <c r="D118" i="4"/>
  <c r="C118" i="4"/>
  <c r="B118" i="4"/>
  <c r="A118" i="4"/>
  <c r="L117" i="4"/>
  <c r="K117" i="4"/>
  <c r="G117" i="4"/>
  <c r="F117" i="4"/>
  <c r="E117" i="4"/>
  <c r="D117" i="4"/>
  <c r="C117" i="4"/>
  <c r="B117" i="4"/>
  <c r="A117" i="4"/>
  <c r="L116" i="4"/>
  <c r="K116" i="4"/>
  <c r="F116" i="4"/>
  <c r="E116" i="4"/>
  <c r="D116" i="4"/>
  <c r="C116" i="4"/>
  <c r="H116" i="4" s="1"/>
  <c r="B116" i="4"/>
  <c r="A116" i="4"/>
  <c r="L115" i="4"/>
  <c r="K115" i="4"/>
  <c r="F115" i="4"/>
  <c r="G115" i="4" s="1"/>
  <c r="E115" i="4"/>
  <c r="D115" i="4"/>
  <c r="C115" i="4"/>
  <c r="H115" i="4" s="1"/>
  <c r="B115" i="4"/>
  <c r="A115" i="4"/>
  <c r="L114" i="4"/>
  <c r="K114" i="4"/>
  <c r="J114" i="4"/>
  <c r="I114" i="4"/>
  <c r="F114" i="4"/>
  <c r="G114" i="4" s="1"/>
  <c r="E114" i="4"/>
  <c r="D114" i="4"/>
  <c r="C114" i="4"/>
  <c r="H114" i="4" s="1"/>
  <c r="B114" i="4"/>
  <c r="A114" i="4"/>
  <c r="L113" i="4"/>
  <c r="K113" i="4"/>
  <c r="F113" i="4"/>
  <c r="G113" i="4" s="1"/>
  <c r="E113" i="4"/>
  <c r="D113" i="4"/>
  <c r="C113" i="4"/>
  <c r="H113" i="4" s="1"/>
  <c r="B113" i="4"/>
  <c r="A113" i="4"/>
  <c r="L112" i="4"/>
  <c r="K112" i="4"/>
  <c r="F112" i="4"/>
  <c r="G112" i="4" s="1"/>
  <c r="E112" i="4"/>
  <c r="D112" i="4"/>
  <c r="C112" i="4"/>
  <c r="H112" i="4" s="1"/>
  <c r="B112" i="4"/>
  <c r="A112" i="4"/>
  <c r="L111" i="4"/>
  <c r="K111" i="4"/>
  <c r="I111" i="4"/>
  <c r="F111" i="4"/>
  <c r="G111" i="4" s="1"/>
  <c r="E111" i="4"/>
  <c r="D111" i="4"/>
  <c r="C111" i="4"/>
  <c r="H111" i="4" s="1"/>
  <c r="B111" i="4"/>
  <c r="A111" i="4"/>
  <c r="L110" i="4"/>
  <c r="K110" i="4"/>
  <c r="J110" i="4"/>
  <c r="F110" i="4"/>
  <c r="G110" i="4" s="1"/>
  <c r="E110" i="4"/>
  <c r="D110" i="4"/>
  <c r="C110" i="4"/>
  <c r="H110" i="4" s="1"/>
  <c r="B110" i="4"/>
  <c r="A110" i="4"/>
  <c r="L109" i="4"/>
  <c r="K109" i="4"/>
  <c r="F109" i="4"/>
  <c r="G109" i="4" s="1"/>
  <c r="E109" i="4"/>
  <c r="D109" i="4"/>
  <c r="C109" i="4"/>
  <c r="H109" i="4" s="1"/>
  <c r="B109" i="4"/>
  <c r="A109" i="4"/>
  <c r="L108" i="4"/>
  <c r="K108" i="4"/>
  <c r="J108" i="4"/>
  <c r="I108" i="4"/>
  <c r="F108" i="4"/>
  <c r="G108" i="4" s="1"/>
  <c r="E108" i="4"/>
  <c r="D108" i="4"/>
  <c r="C108" i="4"/>
  <c r="H108" i="4" s="1"/>
  <c r="B108" i="4"/>
  <c r="A108" i="4"/>
  <c r="L107" i="4"/>
  <c r="K107" i="4"/>
  <c r="F107" i="4"/>
  <c r="G107" i="4" s="1"/>
  <c r="E107" i="4"/>
  <c r="D107" i="4"/>
  <c r="C107" i="4"/>
  <c r="H107" i="4" s="1"/>
  <c r="B107" i="4"/>
  <c r="A107" i="4"/>
  <c r="L106" i="4"/>
  <c r="K106" i="4"/>
  <c r="F106" i="4"/>
  <c r="G106" i="4" s="1"/>
  <c r="E106" i="4"/>
  <c r="D106" i="4"/>
  <c r="C106" i="4"/>
  <c r="H106" i="4" s="1"/>
  <c r="B106" i="4"/>
  <c r="A106" i="4"/>
  <c r="L105" i="4"/>
  <c r="K105" i="4"/>
  <c r="I105" i="4"/>
  <c r="F105" i="4"/>
  <c r="G105" i="4" s="1"/>
  <c r="E105" i="4"/>
  <c r="D105" i="4"/>
  <c r="C105" i="4"/>
  <c r="H105" i="4" s="1"/>
  <c r="B105" i="4"/>
  <c r="A105" i="4"/>
  <c r="L104" i="4"/>
  <c r="K104" i="4"/>
  <c r="J104" i="4"/>
  <c r="F104" i="4"/>
  <c r="G104" i="4" s="1"/>
  <c r="E104" i="4"/>
  <c r="D104" i="4"/>
  <c r="C104" i="4"/>
  <c r="H104" i="4" s="1"/>
  <c r="B104" i="4"/>
  <c r="A104" i="4"/>
  <c r="L103" i="4"/>
  <c r="K103" i="4"/>
  <c r="F103" i="4"/>
  <c r="G103" i="4" s="1"/>
  <c r="E103" i="4"/>
  <c r="D103" i="4"/>
  <c r="C103" i="4"/>
  <c r="H103" i="4" s="1"/>
  <c r="B103" i="4"/>
  <c r="A103" i="4"/>
  <c r="L102" i="4"/>
  <c r="K102" i="4"/>
  <c r="J102" i="4"/>
  <c r="I102" i="4"/>
  <c r="F102" i="4"/>
  <c r="G102" i="4" s="1"/>
  <c r="E102" i="4"/>
  <c r="D102" i="4"/>
  <c r="C102" i="4"/>
  <c r="H102" i="4" s="1"/>
  <c r="B102" i="4"/>
  <c r="A102" i="4"/>
  <c r="L101" i="4"/>
  <c r="K101" i="4"/>
  <c r="I101" i="4"/>
  <c r="F101" i="4"/>
  <c r="G101" i="4" s="1"/>
  <c r="E101" i="4"/>
  <c r="D101" i="4"/>
  <c r="C101" i="4"/>
  <c r="H101" i="4" s="1"/>
  <c r="B101" i="4"/>
  <c r="A101" i="4"/>
  <c r="L100" i="4"/>
  <c r="K100" i="4"/>
  <c r="F100" i="4"/>
  <c r="G100" i="4" s="1"/>
  <c r="E100" i="4"/>
  <c r="D100" i="4"/>
  <c r="C100" i="4"/>
  <c r="H100" i="4" s="1"/>
  <c r="B100" i="4"/>
  <c r="A100" i="4"/>
  <c r="L99" i="4"/>
  <c r="K99" i="4"/>
  <c r="I99" i="4"/>
  <c r="F99" i="4"/>
  <c r="G99" i="4" s="1"/>
  <c r="E99" i="4"/>
  <c r="D99" i="4"/>
  <c r="C99" i="4"/>
  <c r="H99" i="4" s="1"/>
  <c r="B99" i="4"/>
  <c r="A99" i="4"/>
  <c r="L98" i="4"/>
  <c r="K98" i="4"/>
  <c r="J98" i="4"/>
  <c r="F98" i="4"/>
  <c r="G98" i="4" s="1"/>
  <c r="E98" i="4"/>
  <c r="D98" i="4"/>
  <c r="C98" i="4"/>
  <c r="H98" i="4" s="1"/>
  <c r="B98" i="4"/>
  <c r="A98" i="4"/>
  <c r="L97" i="4"/>
  <c r="K97" i="4"/>
  <c r="F97" i="4"/>
  <c r="G97" i="4" s="1"/>
  <c r="E97" i="4"/>
  <c r="D97" i="4"/>
  <c r="C97" i="4"/>
  <c r="H97" i="4" s="1"/>
  <c r="B97" i="4"/>
  <c r="A97" i="4"/>
  <c r="L96" i="4"/>
  <c r="K96" i="4"/>
  <c r="J96" i="4"/>
  <c r="I96" i="4"/>
  <c r="F96" i="4"/>
  <c r="G96" i="4" s="1"/>
  <c r="E96" i="4"/>
  <c r="D96" i="4"/>
  <c r="C96" i="4"/>
  <c r="H96" i="4" s="1"/>
  <c r="B96" i="4"/>
  <c r="A96" i="4"/>
  <c r="L95" i="4"/>
  <c r="K95" i="4"/>
  <c r="I95" i="4"/>
  <c r="F95" i="4"/>
  <c r="G95" i="4" s="1"/>
  <c r="E95" i="4"/>
  <c r="D95" i="4"/>
  <c r="C95" i="4"/>
  <c r="H95" i="4" s="1"/>
  <c r="B95" i="4"/>
  <c r="A95" i="4"/>
  <c r="L94" i="4"/>
  <c r="K94" i="4"/>
  <c r="I94" i="4"/>
  <c r="F94" i="4"/>
  <c r="G94" i="4" s="1"/>
  <c r="E94" i="4"/>
  <c r="D94" i="4"/>
  <c r="C94" i="4"/>
  <c r="H94" i="4" s="1"/>
  <c r="B94" i="4"/>
  <c r="A94" i="4"/>
  <c r="L93" i="4"/>
  <c r="K93" i="4"/>
  <c r="I93" i="4"/>
  <c r="F93" i="4"/>
  <c r="G93" i="4" s="1"/>
  <c r="E93" i="4"/>
  <c r="D93" i="4"/>
  <c r="C93" i="4"/>
  <c r="H93" i="4" s="1"/>
  <c r="B93" i="4"/>
  <c r="A93" i="4"/>
  <c r="L92" i="4"/>
  <c r="K92" i="4"/>
  <c r="J92" i="4"/>
  <c r="F92" i="4"/>
  <c r="G92" i="4" s="1"/>
  <c r="E92" i="4"/>
  <c r="D92" i="4"/>
  <c r="C92" i="4"/>
  <c r="H92" i="4" s="1"/>
  <c r="B92" i="4"/>
  <c r="A92" i="4"/>
  <c r="L91" i="4"/>
  <c r="K91" i="4"/>
  <c r="F91" i="4"/>
  <c r="G91" i="4" s="1"/>
  <c r="E91" i="4"/>
  <c r="D91" i="4"/>
  <c r="C91" i="4"/>
  <c r="H91" i="4" s="1"/>
  <c r="B91" i="4"/>
  <c r="A91" i="4"/>
  <c r="L90" i="4"/>
  <c r="K90" i="4"/>
  <c r="J90" i="4"/>
  <c r="I90" i="4"/>
  <c r="F90" i="4"/>
  <c r="G90" i="4" s="1"/>
  <c r="E90" i="4"/>
  <c r="D90" i="4"/>
  <c r="C90" i="4"/>
  <c r="H90" i="4" s="1"/>
  <c r="B90" i="4"/>
  <c r="A90" i="4"/>
  <c r="L89" i="4"/>
  <c r="K89" i="4"/>
  <c r="I89" i="4"/>
  <c r="F89" i="4"/>
  <c r="G89" i="4" s="1"/>
  <c r="E89" i="4"/>
  <c r="D89" i="4"/>
  <c r="C89" i="4"/>
  <c r="H89" i="4" s="1"/>
  <c r="B89" i="4"/>
  <c r="A89" i="4"/>
  <c r="L88" i="4"/>
  <c r="K88" i="4"/>
  <c r="I88" i="4"/>
  <c r="F88" i="4"/>
  <c r="G88" i="4" s="1"/>
  <c r="E88" i="4"/>
  <c r="D88" i="4"/>
  <c r="C88" i="4"/>
  <c r="H88" i="4" s="1"/>
  <c r="B88" i="4"/>
  <c r="A88" i="4"/>
  <c r="L87" i="4"/>
  <c r="K87" i="4"/>
  <c r="I87" i="4"/>
  <c r="F87" i="4"/>
  <c r="G87" i="4" s="1"/>
  <c r="E87" i="4"/>
  <c r="D87" i="4"/>
  <c r="C87" i="4"/>
  <c r="H87" i="4" s="1"/>
  <c r="B87" i="4"/>
  <c r="A87" i="4"/>
  <c r="L86" i="4"/>
  <c r="K86" i="4"/>
  <c r="J86" i="4"/>
  <c r="F86" i="4"/>
  <c r="G86" i="4" s="1"/>
  <c r="E86" i="4"/>
  <c r="D86" i="4"/>
  <c r="C86" i="4"/>
  <c r="H86" i="4" s="1"/>
  <c r="B86" i="4"/>
  <c r="A86" i="4"/>
  <c r="L85" i="4"/>
  <c r="K85" i="4"/>
  <c r="F85" i="4"/>
  <c r="G85" i="4" s="1"/>
  <c r="E85" i="4"/>
  <c r="D85" i="4"/>
  <c r="C85" i="4"/>
  <c r="H85" i="4" s="1"/>
  <c r="B85" i="4"/>
  <c r="A85" i="4"/>
  <c r="L84" i="4"/>
  <c r="K84" i="4"/>
  <c r="J84" i="4"/>
  <c r="I84" i="4"/>
  <c r="F84" i="4"/>
  <c r="G84" i="4" s="1"/>
  <c r="E84" i="4"/>
  <c r="D84" i="4"/>
  <c r="C84" i="4"/>
  <c r="H84" i="4" s="1"/>
  <c r="B84" i="4"/>
  <c r="A84" i="4"/>
  <c r="L83" i="4"/>
  <c r="K83" i="4"/>
  <c r="I83" i="4"/>
  <c r="F83" i="4"/>
  <c r="G83" i="4" s="1"/>
  <c r="E83" i="4"/>
  <c r="D83" i="4"/>
  <c r="C83" i="4"/>
  <c r="H83" i="4" s="1"/>
  <c r="B83" i="4"/>
  <c r="A83" i="4"/>
  <c r="L82" i="4"/>
  <c r="K82" i="4"/>
  <c r="I82" i="4"/>
  <c r="F82" i="4"/>
  <c r="G82" i="4" s="1"/>
  <c r="E82" i="4"/>
  <c r="D82" i="4"/>
  <c r="C82" i="4"/>
  <c r="H82" i="4" s="1"/>
  <c r="B82" i="4"/>
  <c r="A82" i="4"/>
  <c r="L81" i="4"/>
  <c r="K81" i="4"/>
  <c r="I81" i="4"/>
  <c r="F81" i="4"/>
  <c r="G81" i="4" s="1"/>
  <c r="E81" i="4"/>
  <c r="D81" i="4"/>
  <c r="C81" i="4"/>
  <c r="H81" i="4" s="1"/>
  <c r="B81" i="4"/>
  <c r="A81" i="4"/>
  <c r="L80" i="4"/>
  <c r="K80" i="4"/>
  <c r="J80" i="4"/>
  <c r="F80" i="4"/>
  <c r="G80" i="4" s="1"/>
  <c r="E80" i="4"/>
  <c r="D80" i="4"/>
  <c r="C80" i="4"/>
  <c r="H80" i="4" s="1"/>
  <c r="B80" i="4"/>
  <c r="A80" i="4"/>
  <c r="L79" i="4"/>
  <c r="K79" i="4"/>
  <c r="F79" i="4"/>
  <c r="G79" i="4" s="1"/>
  <c r="E79" i="4"/>
  <c r="D79" i="4"/>
  <c r="C79" i="4"/>
  <c r="H79" i="4" s="1"/>
  <c r="B79" i="4"/>
  <c r="A79" i="4"/>
  <c r="L78" i="4"/>
  <c r="K78" i="4"/>
  <c r="J78" i="4"/>
  <c r="I78" i="4"/>
  <c r="F78" i="4"/>
  <c r="G78" i="4" s="1"/>
  <c r="E78" i="4"/>
  <c r="D78" i="4"/>
  <c r="C78" i="4"/>
  <c r="H78" i="4" s="1"/>
  <c r="B78" i="4"/>
  <c r="A78" i="4"/>
  <c r="L77" i="4"/>
  <c r="K77" i="4"/>
  <c r="I77" i="4"/>
  <c r="F77" i="4"/>
  <c r="G77" i="4" s="1"/>
  <c r="E77" i="4"/>
  <c r="D77" i="4"/>
  <c r="C77" i="4"/>
  <c r="H77" i="4" s="1"/>
  <c r="B77" i="4"/>
  <c r="A77" i="4"/>
  <c r="L76" i="4"/>
  <c r="K76" i="4"/>
  <c r="I76" i="4"/>
  <c r="F76" i="4"/>
  <c r="G76" i="4" s="1"/>
  <c r="E76" i="4"/>
  <c r="D76" i="4"/>
  <c r="C76" i="4"/>
  <c r="H76" i="4" s="1"/>
  <c r="B76" i="4"/>
  <c r="A76" i="4"/>
  <c r="L75" i="4"/>
  <c r="K75" i="4"/>
  <c r="I75" i="4"/>
  <c r="F75" i="4"/>
  <c r="G75" i="4" s="1"/>
  <c r="E75" i="4"/>
  <c r="D75" i="4"/>
  <c r="C75" i="4"/>
  <c r="H75" i="4" s="1"/>
  <c r="B75" i="4"/>
  <c r="A75" i="4"/>
  <c r="L74" i="4"/>
  <c r="K74" i="4"/>
  <c r="J74" i="4"/>
  <c r="F74" i="4"/>
  <c r="G74" i="4" s="1"/>
  <c r="E74" i="4"/>
  <c r="D74" i="4"/>
  <c r="C74" i="4"/>
  <c r="H74" i="4" s="1"/>
  <c r="B74" i="4"/>
  <c r="A74" i="4"/>
  <c r="L73" i="4"/>
  <c r="K73" i="4"/>
  <c r="F73" i="4"/>
  <c r="G73" i="4" s="1"/>
  <c r="E73" i="4"/>
  <c r="D73" i="4"/>
  <c r="C73" i="4"/>
  <c r="H73" i="4" s="1"/>
  <c r="B73" i="4"/>
  <c r="A73" i="4"/>
  <c r="L72" i="4"/>
  <c r="K72" i="4"/>
  <c r="J72" i="4"/>
  <c r="I72" i="4"/>
  <c r="F72" i="4"/>
  <c r="G72" i="4" s="1"/>
  <c r="E72" i="4"/>
  <c r="D72" i="4"/>
  <c r="C72" i="4"/>
  <c r="H72" i="4" s="1"/>
  <c r="B72" i="4"/>
  <c r="A72" i="4"/>
  <c r="L71" i="4"/>
  <c r="K71" i="4"/>
  <c r="I71" i="4"/>
  <c r="F71" i="4"/>
  <c r="G71" i="4" s="1"/>
  <c r="E71" i="4"/>
  <c r="D71" i="4"/>
  <c r="C71" i="4"/>
  <c r="H71" i="4" s="1"/>
  <c r="B71" i="4"/>
  <c r="A71" i="4"/>
  <c r="L70" i="4"/>
  <c r="K70" i="4"/>
  <c r="I70" i="4"/>
  <c r="F70" i="4"/>
  <c r="G70" i="4" s="1"/>
  <c r="E70" i="4"/>
  <c r="D70" i="4"/>
  <c r="C70" i="4"/>
  <c r="H70" i="4" s="1"/>
  <c r="B70" i="4"/>
  <c r="A70" i="4"/>
  <c r="L69" i="4"/>
  <c r="K69" i="4"/>
  <c r="I69" i="4"/>
  <c r="F69" i="4"/>
  <c r="G69" i="4" s="1"/>
  <c r="E69" i="4"/>
  <c r="D69" i="4"/>
  <c r="C69" i="4"/>
  <c r="H69" i="4" s="1"/>
  <c r="B69" i="4"/>
  <c r="A69" i="4"/>
  <c r="L68" i="4"/>
  <c r="K68" i="4"/>
  <c r="J68" i="4"/>
  <c r="F68" i="4"/>
  <c r="G68" i="4" s="1"/>
  <c r="E68" i="4"/>
  <c r="D68" i="4"/>
  <c r="C68" i="4"/>
  <c r="H68" i="4" s="1"/>
  <c r="B68" i="4"/>
  <c r="A68" i="4"/>
  <c r="L67" i="4"/>
  <c r="K67" i="4"/>
  <c r="F67" i="4"/>
  <c r="G67" i="4" s="1"/>
  <c r="E67" i="4"/>
  <c r="D67" i="4"/>
  <c r="C67" i="4"/>
  <c r="H67" i="4" s="1"/>
  <c r="B67" i="4"/>
  <c r="A67" i="4"/>
  <c r="L66" i="4"/>
  <c r="K66" i="4"/>
  <c r="J66" i="4"/>
  <c r="I66" i="4"/>
  <c r="F66" i="4"/>
  <c r="G66" i="4" s="1"/>
  <c r="E66" i="4"/>
  <c r="D66" i="4"/>
  <c r="C66" i="4"/>
  <c r="H66" i="4" s="1"/>
  <c r="B66" i="4"/>
  <c r="A66" i="4"/>
  <c r="L65" i="4"/>
  <c r="K65" i="4"/>
  <c r="I65" i="4"/>
  <c r="F65" i="4"/>
  <c r="G65" i="4" s="1"/>
  <c r="E65" i="4"/>
  <c r="D65" i="4"/>
  <c r="C65" i="4"/>
  <c r="H65" i="4" s="1"/>
  <c r="B65" i="4"/>
  <c r="A65" i="4"/>
  <c r="L64" i="4"/>
  <c r="K64" i="4"/>
  <c r="I64" i="4"/>
  <c r="F64" i="4"/>
  <c r="G64" i="4" s="1"/>
  <c r="E64" i="4"/>
  <c r="D64" i="4"/>
  <c r="C64" i="4"/>
  <c r="H64" i="4" s="1"/>
  <c r="B64" i="4"/>
  <c r="A64" i="4"/>
  <c r="L63" i="4"/>
  <c r="K63" i="4"/>
  <c r="I63" i="4"/>
  <c r="F63" i="4"/>
  <c r="G63" i="4" s="1"/>
  <c r="E63" i="4"/>
  <c r="D63" i="4"/>
  <c r="C63" i="4"/>
  <c r="H63" i="4" s="1"/>
  <c r="B63" i="4"/>
  <c r="A63" i="4"/>
  <c r="L62" i="4"/>
  <c r="K62" i="4"/>
  <c r="J62" i="4"/>
  <c r="F62" i="4"/>
  <c r="G62" i="4" s="1"/>
  <c r="E62" i="4"/>
  <c r="D62" i="4"/>
  <c r="C62" i="4"/>
  <c r="H62" i="4" s="1"/>
  <c r="B62" i="4"/>
  <c r="A62" i="4"/>
  <c r="L61" i="4"/>
  <c r="K61" i="4"/>
  <c r="F61" i="4"/>
  <c r="G61" i="4" s="1"/>
  <c r="E61" i="4"/>
  <c r="D61" i="4"/>
  <c r="C61" i="4"/>
  <c r="H61" i="4" s="1"/>
  <c r="B61" i="4"/>
  <c r="A61" i="4"/>
  <c r="L60" i="4"/>
  <c r="K60" i="4"/>
  <c r="J60" i="4"/>
  <c r="I60" i="4"/>
  <c r="F60" i="4"/>
  <c r="G60" i="4" s="1"/>
  <c r="E60" i="4"/>
  <c r="D60" i="4"/>
  <c r="C60" i="4"/>
  <c r="H60" i="4" s="1"/>
  <c r="B60" i="4"/>
  <c r="A60" i="4"/>
  <c r="L59" i="4"/>
  <c r="K59" i="4"/>
  <c r="I59" i="4"/>
  <c r="F59" i="4"/>
  <c r="G59" i="4" s="1"/>
  <c r="E59" i="4"/>
  <c r="D59" i="4"/>
  <c r="C59" i="4"/>
  <c r="H59" i="4" s="1"/>
  <c r="B59" i="4"/>
  <c r="A59" i="4"/>
  <c r="L58" i="4"/>
  <c r="K58" i="4"/>
  <c r="I58" i="4"/>
  <c r="F58" i="4"/>
  <c r="G58" i="4" s="1"/>
  <c r="E58" i="4"/>
  <c r="D58" i="4"/>
  <c r="C58" i="4"/>
  <c r="H58" i="4" s="1"/>
  <c r="B58" i="4"/>
  <c r="A58" i="4"/>
  <c r="L57" i="4"/>
  <c r="K57" i="4"/>
  <c r="I57" i="4"/>
  <c r="F57" i="4"/>
  <c r="G57" i="4" s="1"/>
  <c r="E57" i="4"/>
  <c r="D57" i="4"/>
  <c r="C57" i="4"/>
  <c r="H57" i="4" s="1"/>
  <c r="B57" i="4"/>
  <c r="A57" i="4"/>
  <c r="L56" i="4"/>
  <c r="K56" i="4"/>
  <c r="J56" i="4"/>
  <c r="F56" i="4"/>
  <c r="G56" i="4" s="1"/>
  <c r="E56" i="4"/>
  <c r="D56" i="4"/>
  <c r="C56" i="4"/>
  <c r="H56" i="4" s="1"/>
  <c r="B56" i="4"/>
  <c r="A56" i="4"/>
  <c r="L55" i="4"/>
  <c r="K55" i="4"/>
  <c r="F55" i="4"/>
  <c r="G55" i="4" s="1"/>
  <c r="E55" i="4"/>
  <c r="D55" i="4"/>
  <c r="C55" i="4"/>
  <c r="H55" i="4" s="1"/>
  <c r="B55" i="4"/>
  <c r="A55" i="4"/>
  <c r="L54" i="4"/>
  <c r="K54" i="4"/>
  <c r="J54" i="4"/>
  <c r="I54" i="4"/>
  <c r="F54" i="4"/>
  <c r="G54" i="4" s="1"/>
  <c r="E54" i="4"/>
  <c r="D54" i="4"/>
  <c r="C54" i="4"/>
  <c r="H54" i="4" s="1"/>
  <c r="B54" i="4"/>
  <c r="A54" i="4"/>
  <c r="L53" i="4"/>
  <c r="K53" i="4"/>
  <c r="I53" i="4"/>
  <c r="F53" i="4"/>
  <c r="G53" i="4" s="1"/>
  <c r="E53" i="4"/>
  <c r="D53" i="4"/>
  <c r="C53" i="4"/>
  <c r="H53" i="4" s="1"/>
  <c r="B53" i="4"/>
  <c r="A53" i="4"/>
  <c r="L52" i="4"/>
  <c r="K52" i="4"/>
  <c r="I52" i="4"/>
  <c r="F52" i="4"/>
  <c r="G52" i="4" s="1"/>
  <c r="E52" i="4"/>
  <c r="D52" i="4"/>
  <c r="C52" i="4"/>
  <c r="H52" i="4" s="1"/>
  <c r="B52" i="4"/>
  <c r="A52" i="4"/>
  <c r="L51" i="4"/>
  <c r="K51" i="4"/>
  <c r="I51" i="4"/>
  <c r="F51" i="4"/>
  <c r="G51" i="4" s="1"/>
  <c r="E51" i="4"/>
  <c r="D51" i="4"/>
  <c r="C51" i="4"/>
  <c r="H51" i="4" s="1"/>
  <c r="B51" i="4"/>
  <c r="A51" i="4"/>
  <c r="L50" i="4"/>
  <c r="K50" i="4"/>
  <c r="J50" i="4"/>
  <c r="F50" i="4"/>
  <c r="G50" i="4" s="1"/>
  <c r="E50" i="4"/>
  <c r="D50" i="4"/>
  <c r="C50" i="4"/>
  <c r="H50" i="4" s="1"/>
  <c r="B50" i="4"/>
  <c r="A50" i="4"/>
  <c r="L49" i="4"/>
  <c r="K49" i="4"/>
  <c r="F49" i="4"/>
  <c r="G49" i="4" s="1"/>
  <c r="E49" i="4"/>
  <c r="D49" i="4"/>
  <c r="C49" i="4"/>
  <c r="H49" i="4" s="1"/>
  <c r="B49" i="4"/>
  <c r="A49" i="4"/>
  <c r="L48" i="4"/>
  <c r="K48" i="4"/>
  <c r="I48" i="4"/>
  <c r="F48" i="4"/>
  <c r="G48" i="4" s="1"/>
  <c r="J48" i="4" s="1"/>
  <c r="E48" i="4"/>
  <c r="D48" i="4"/>
  <c r="C48" i="4"/>
  <c r="H48" i="4" s="1"/>
  <c r="B48" i="4"/>
  <c r="A48" i="4"/>
  <c r="L47" i="4"/>
  <c r="K47" i="4"/>
  <c r="I47" i="4"/>
  <c r="G47" i="4"/>
  <c r="J47" i="4" s="1"/>
  <c r="F47" i="4"/>
  <c r="E47" i="4"/>
  <c r="D47" i="4"/>
  <c r="C47" i="4"/>
  <c r="H47" i="4" s="1"/>
  <c r="B47" i="4"/>
  <c r="A47" i="4"/>
  <c r="L46" i="4"/>
  <c r="K46" i="4"/>
  <c r="F46" i="4"/>
  <c r="I46" i="4" s="1"/>
  <c r="E46" i="4"/>
  <c r="D46" i="4"/>
  <c r="C46" i="4"/>
  <c r="H46" i="4" s="1"/>
  <c r="B46" i="4"/>
  <c r="A46" i="4"/>
  <c r="L45" i="4"/>
  <c r="K45" i="4"/>
  <c r="G45" i="4"/>
  <c r="F45" i="4"/>
  <c r="J45" i="4" s="1"/>
  <c r="E45" i="4"/>
  <c r="D45" i="4"/>
  <c r="C45" i="4"/>
  <c r="H45" i="4" s="1"/>
  <c r="B45" i="4"/>
  <c r="A45" i="4"/>
  <c r="L44" i="4"/>
  <c r="K44" i="4"/>
  <c r="F44" i="4"/>
  <c r="E44" i="4"/>
  <c r="D44" i="4"/>
  <c r="C44" i="4"/>
  <c r="H44" i="4" s="1"/>
  <c r="B44" i="4"/>
  <c r="A44" i="4"/>
  <c r="L43" i="4"/>
  <c r="K43" i="4"/>
  <c r="G43" i="4"/>
  <c r="F43" i="4"/>
  <c r="I43" i="4" s="1"/>
  <c r="E43" i="4"/>
  <c r="D43" i="4"/>
  <c r="C43" i="4"/>
  <c r="H43" i="4" s="1"/>
  <c r="B43" i="4"/>
  <c r="A43" i="4"/>
  <c r="L42" i="4"/>
  <c r="K42" i="4"/>
  <c r="I42" i="4"/>
  <c r="F42" i="4"/>
  <c r="G42" i="4" s="1"/>
  <c r="E42" i="4"/>
  <c r="D42" i="4"/>
  <c r="C42" i="4"/>
  <c r="H42" i="4" s="1"/>
  <c r="B42" i="4"/>
  <c r="A42" i="4"/>
  <c r="L41" i="4"/>
  <c r="K41" i="4"/>
  <c r="G41" i="4"/>
  <c r="F41" i="4"/>
  <c r="E41" i="4"/>
  <c r="I41" i="4" s="1"/>
  <c r="D41" i="4"/>
  <c r="C41" i="4"/>
  <c r="H41" i="4" s="1"/>
  <c r="B41" i="4"/>
  <c r="A41" i="4"/>
  <c r="L40" i="4"/>
  <c r="K40" i="4"/>
  <c r="F40" i="4"/>
  <c r="I40" i="4" s="1"/>
  <c r="E40" i="4"/>
  <c r="D40" i="4"/>
  <c r="C40" i="4"/>
  <c r="H40" i="4" s="1"/>
  <c r="B40" i="4"/>
  <c r="A40" i="4"/>
  <c r="L39" i="4"/>
  <c r="K39" i="4"/>
  <c r="I39" i="4"/>
  <c r="F39" i="4"/>
  <c r="G39" i="4" s="1"/>
  <c r="E39" i="4"/>
  <c r="D39" i="4"/>
  <c r="C39" i="4"/>
  <c r="B39" i="4"/>
  <c r="A39" i="4"/>
  <c r="L38" i="4"/>
  <c r="K38" i="4"/>
  <c r="I38" i="4"/>
  <c r="F38" i="4"/>
  <c r="G38" i="4" s="1"/>
  <c r="E38" i="4"/>
  <c r="D38" i="4"/>
  <c r="C38" i="4"/>
  <c r="B38" i="4"/>
  <c r="A38" i="4"/>
  <c r="L37" i="4"/>
  <c r="K37" i="4"/>
  <c r="I37" i="4"/>
  <c r="F37" i="4"/>
  <c r="G37" i="4" s="1"/>
  <c r="E37" i="4"/>
  <c r="D37" i="4"/>
  <c r="C37" i="4"/>
  <c r="B37" i="4"/>
  <c r="A37" i="4"/>
  <c r="L36" i="4"/>
  <c r="K36" i="4"/>
  <c r="I36" i="4"/>
  <c r="F36" i="4"/>
  <c r="G36" i="4" s="1"/>
  <c r="E36" i="4"/>
  <c r="D36" i="4"/>
  <c r="C36" i="4"/>
  <c r="B36" i="4"/>
  <c r="A36" i="4"/>
  <c r="L35" i="4"/>
  <c r="K35" i="4"/>
  <c r="I35" i="4"/>
  <c r="F35" i="4"/>
  <c r="G35" i="4" s="1"/>
  <c r="E35" i="4"/>
  <c r="D35" i="4"/>
  <c r="C35" i="4"/>
  <c r="B35" i="4"/>
  <c r="A35" i="4"/>
  <c r="L34" i="4"/>
  <c r="K34" i="4"/>
  <c r="I34" i="4"/>
  <c r="F34" i="4"/>
  <c r="G34" i="4" s="1"/>
  <c r="E34" i="4"/>
  <c r="D34" i="4"/>
  <c r="C34" i="4"/>
  <c r="B34" i="4"/>
  <c r="A34" i="4"/>
  <c r="L33" i="4"/>
  <c r="K33" i="4"/>
  <c r="I33" i="4"/>
  <c r="F33" i="4"/>
  <c r="G33" i="4" s="1"/>
  <c r="E33" i="4"/>
  <c r="D33" i="4"/>
  <c r="C33" i="4"/>
  <c r="B33" i="4"/>
  <c r="A33" i="4"/>
  <c r="L32" i="4"/>
  <c r="K32" i="4"/>
  <c r="I32" i="4"/>
  <c r="F32" i="4"/>
  <c r="G32" i="4" s="1"/>
  <c r="E32" i="4"/>
  <c r="D32" i="4"/>
  <c r="C32" i="4"/>
  <c r="B32" i="4"/>
  <c r="A32" i="4"/>
  <c r="L31" i="4"/>
  <c r="K31" i="4"/>
  <c r="I31" i="4"/>
  <c r="F31" i="4"/>
  <c r="G31" i="4" s="1"/>
  <c r="E31" i="4"/>
  <c r="D31" i="4"/>
  <c r="C31" i="4"/>
  <c r="B31" i="4"/>
  <c r="A31" i="4"/>
  <c r="L30" i="4"/>
  <c r="K30" i="4"/>
  <c r="I30" i="4"/>
  <c r="F30" i="4"/>
  <c r="G30" i="4" s="1"/>
  <c r="E30" i="4"/>
  <c r="D30" i="4"/>
  <c r="C30" i="4"/>
  <c r="J30" i="4" s="1"/>
  <c r="B30" i="4"/>
  <c r="A30" i="4"/>
  <c r="L29" i="4"/>
  <c r="K29" i="4"/>
  <c r="I29" i="4"/>
  <c r="F29" i="4"/>
  <c r="G29" i="4" s="1"/>
  <c r="E29" i="4"/>
  <c r="D29" i="4"/>
  <c r="C29" i="4"/>
  <c r="J29" i="4" s="1"/>
  <c r="B29" i="4"/>
  <c r="A29" i="4"/>
  <c r="L28" i="4"/>
  <c r="K28" i="4"/>
  <c r="I28" i="4"/>
  <c r="F28" i="4"/>
  <c r="G28" i="4" s="1"/>
  <c r="E28" i="4"/>
  <c r="D28" i="4"/>
  <c r="C28" i="4"/>
  <c r="B28" i="4"/>
  <c r="A28" i="4"/>
  <c r="L27" i="4"/>
  <c r="K27" i="4"/>
  <c r="I27" i="4"/>
  <c r="F27" i="4"/>
  <c r="G27" i="4" s="1"/>
  <c r="E27" i="4"/>
  <c r="D27" i="4"/>
  <c r="C27" i="4"/>
  <c r="B27" i="4"/>
  <c r="A27" i="4"/>
  <c r="L26" i="4"/>
  <c r="K26" i="4"/>
  <c r="I26" i="4"/>
  <c r="F26" i="4"/>
  <c r="G26" i="4" s="1"/>
  <c r="E26" i="4"/>
  <c r="D26" i="4"/>
  <c r="C26" i="4"/>
  <c r="B26" i="4"/>
  <c r="A26" i="4"/>
  <c r="L25" i="4"/>
  <c r="K25" i="4"/>
  <c r="I25" i="4"/>
  <c r="F25" i="4"/>
  <c r="G25" i="4" s="1"/>
  <c r="E25" i="4"/>
  <c r="D25" i="4"/>
  <c r="C25" i="4"/>
  <c r="B25" i="4"/>
  <c r="A25" i="4"/>
  <c r="L24" i="4"/>
  <c r="K24" i="4"/>
  <c r="I24" i="4"/>
  <c r="F24" i="4"/>
  <c r="G24" i="4" s="1"/>
  <c r="E24" i="4"/>
  <c r="D24" i="4"/>
  <c r="C24" i="4"/>
  <c r="B24" i="4"/>
  <c r="A24" i="4"/>
  <c r="L23" i="4"/>
  <c r="K23" i="4"/>
  <c r="I23" i="4"/>
  <c r="F23" i="4"/>
  <c r="G23" i="4" s="1"/>
  <c r="E23" i="4"/>
  <c r="D23" i="4"/>
  <c r="C23" i="4"/>
  <c r="B23" i="4"/>
  <c r="A23" i="4"/>
  <c r="L22" i="4"/>
  <c r="K22" i="4"/>
  <c r="I22" i="4"/>
  <c r="F22" i="4"/>
  <c r="G22" i="4" s="1"/>
  <c r="E22" i="4"/>
  <c r="D22" i="4"/>
  <c r="C22" i="4"/>
  <c r="B22" i="4"/>
  <c r="A22" i="4"/>
  <c r="L21" i="4"/>
  <c r="K21" i="4"/>
  <c r="I21" i="4"/>
  <c r="F21" i="4"/>
  <c r="G21" i="4" s="1"/>
  <c r="E21" i="4"/>
  <c r="D21" i="4"/>
  <c r="C21" i="4"/>
  <c r="B21" i="4"/>
  <c r="A21" i="4"/>
  <c r="L20" i="4"/>
  <c r="K20" i="4"/>
  <c r="I20" i="4"/>
  <c r="F20" i="4"/>
  <c r="G20" i="4" s="1"/>
  <c r="E20" i="4"/>
  <c r="D20" i="4"/>
  <c r="C20" i="4"/>
  <c r="B20" i="4"/>
  <c r="A20" i="4"/>
  <c r="L19" i="4"/>
  <c r="K19" i="4"/>
  <c r="I19" i="4"/>
  <c r="F19" i="4"/>
  <c r="G19" i="4" s="1"/>
  <c r="E19" i="4"/>
  <c r="D19" i="4"/>
  <c r="C19" i="4"/>
  <c r="B19" i="4"/>
  <c r="A19" i="4"/>
  <c r="L18" i="4"/>
  <c r="K18" i="4"/>
  <c r="I18" i="4"/>
  <c r="F18" i="4"/>
  <c r="G18" i="4" s="1"/>
  <c r="E18" i="4"/>
  <c r="D18" i="4"/>
  <c r="C18" i="4"/>
  <c r="B18" i="4"/>
  <c r="A18" i="4"/>
  <c r="L17" i="4"/>
  <c r="K17" i="4"/>
  <c r="I17" i="4"/>
  <c r="F17" i="4"/>
  <c r="G17" i="4" s="1"/>
  <c r="E17" i="4"/>
  <c r="D17" i="4"/>
  <c r="C17" i="4"/>
  <c r="B17" i="4"/>
  <c r="A17" i="4"/>
  <c r="L16" i="4"/>
  <c r="K16" i="4"/>
  <c r="I16" i="4"/>
  <c r="F16" i="4"/>
  <c r="G16" i="4" s="1"/>
  <c r="E16" i="4"/>
  <c r="D16" i="4"/>
  <c r="C16" i="4"/>
  <c r="B16" i="4"/>
  <c r="A16" i="4"/>
  <c r="L15" i="4"/>
  <c r="K15" i="4"/>
  <c r="I15" i="4"/>
  <c r="F15" i="4"/>
  <c r="G15" i="4" s="1"/>
  <c r="E15" i="4"/>
  <c r="D15" i="4"/>
  <c r="C15" i="4"/>
  <c r="B15" i="4"/>
  <c r="A15" i="4"/>
  <c r="L14" i="4"/>
  <c r="K14" i="4"/>
  <c r="I14" i="4"/>
  <c r="F14" i="4"/>
  <c r="G14" i="4" s="1"/>
  <c r="E14" i="4"/>
  <c r="D14" i="4"/>
  <c r="C14" i="4"/>
  <c r="B14" i="4"/>
  <c r="A14" i="4"/>
  <c r="L13" i="4"/>
  <c r="K13" i="4"/>
  <c r="I13" i="4"/>
  <c r="F13" i="4"/>
  <c r="G13" i="4" s="1"/>
  <c r="E13" i="4"/>
  <c r="D13" i="4"/>
  <c r="C13" i="4"/>
  <c r="B13" i="4"/>
  <c r="A13" i="4"/>
  <c r="L12" i="4"/>
  <c r="K12" i="4"/>
  <c r="I12" i="4"/>
  <c r="F12" i="4"/>
  <c r="G12" i="4" s="1"/>
  <c r="E12" i="4"/>
  <c r="D12" i="4"/>
  <c r="C12" i="4"/>
  <c r="B12" i="4"/>
  <c r="A12" i="4"/>
  <c r="L11" i="4"/>
  <c r="K11" i="4"/>
  <c r="I11" i="4"/>
  <c r="F11" i="4"/>
  <c r="G11" i="4" s="1"/>
  <c r="E11" i="4"/>
  <c r="D11" i="4"/>
  <c r="C11" i="4"/>
  <c r="B11" i="4"/>
  <c r="A11" i="4"/>
  <c r="L10" i="4"/>
  <c r="K10" i="4"/>
  <c r="I10" i="4"/>
  <c r="F10" i="4"/>
  <c r="G10" i="4" s="1"/>
  <c r="E10" i="4"/>
  <c r="D10" i="4"/>
  <c r="C10" i="4"/>
  <c r="B10" i="4"/>
  <c r="A10" i="4"/>
  <c r="L9" i="4"/>
  <c r="K9" i="4"/>
  <c r="I9" i="4"/>
  <c r="F9" i="4"/>
  <c r="G9" i="4" s="1"/>
  <c r="E9" i="4"/>
  <c r="D9" i="4"/>
  <c r="C9" i="4"/>
  <c r="B9" i="4"/>
  <c r="A9" i="4"/>
  <c r="L8" i="4"/>
  <c r="K8" i="4"/>
  <c r="I8" i="4"/>
  <c r="F8" i="4"/>
  <c r="G8" i="4" s="1"/>
  <c r="E8" i="4"/>
  <c r="D8" i="4"/>
  <c r="C8" i="4"/>
  <c r="B8" i="4"/>
  <c r="A8" i="4"/>
  <c r="L7" i="4"/>
  <c r="K7" i="4"/>
  <c r="I7" i="4"/>
  <c r="F7" i="4"/>
  <c r="G7" i="4" s="1"/>
  <c r="E7" i="4"/>
  <c r="D7" i="4"/>
  <c r="C7" i="4"/>
  <c r="B7" i="4"/>
  <c r="A7" i="4"/>
  <c r="L6" i="4"/>
  <c r="K6" i="4"/>
  <c r="I6" i="4"/>
  <c r="F6" i="4"/>
  <c r="G6" i="4" s="1"/>
  <c r="E6" i="4"/>
  <c r="D6" i="4"/>
  <c r="C6" i="4"/>
  <c r="B6" i="4"/>
  <c r="A6" i="4"/>
  <c r="L5" i="4"/>
  <c r="K5" i="4"/>
  <c r="I5" i="4"/>
  <c r="F5" i="4"/>
  <c r="G5" i="4" s="1"/>
  <c r="E5" i="4"/>
  <c r="D5" i="4"/>
  <c r="C5" i="4"/>
  <c r="B5" i="4"/>
  <c r="A5" i="4"/>
  <c r="L4" i="4"/>
  <c r="K4" i="4"/>
  <c r="I4" i="4"/>
  <c r="F4" i="4"/>
  <c r="G4" i="4" s="1"/>
  <c r="E4" i="4"/>
  <c r="D4" i="4"/>
  <c r="C4" i="4"/>
  <c r="B4" i="4"/>
  <c r="A4" i="4"/>
  <c r="L3" i="4"/>
  <c r="K3" i="4"/>
  <c r="I3" i="4"/>
  <c r="F3" i="4"/>
  <c r="G3" i="4" s="1"/>
  <c r="E3" i="4"/>
  <c r="D3" i="4"/>
  <c r="C3" i="4"/>
  <c r="B3" i="4"/>
  <c r="A3" i="4"/>
  <c r="L2" i="4"/>
  <c r="B33" i="5" s="1"/>
  <c r="K2" i="4"/>
  <c r="I2" i="4"/>
  <c r="F2" i="4"/>
  <c r="G2" i="4" s="1"/>
  <c r="E2" i="4"/>
  <c r="D2" i="4"/>
  <c r="C2" i="4"/>
  <c r="B2" i="4"/>
  <c r="A2" i="4"/>
  <c r="J32" i="4" l="1"/>
  <c r="J36" i="4"/>
  <c r="J122" i="4"/>
  <c r="J44" i="4"/>
  <c r="J18" i="4"/>
  <c r="J7" i="4"/>
  <c r="J9" i="4"/>
  <c r="J4" i="4"/>
  <c r="G44" i="4"/>
  <c r="I45" i="4"/>
  <c r="J53" i="4"/>
  <c r="J59" i="4"/>
  <c r="J65" i="4"/>
  <c r="J71" i="4"/>
  <c r="J77" i="4"/>
  <c r="J83" i="4"/>
  <c r="J89" i="4"/>
  <c r="J95" i="4"/>
  <c r="J101" i="4"/>
  <c r="J107" i="4"/>
  <c r="J113" i="4"/>
  <c r="H144" i="4"/>
  <c r="J144" i="4" s="1"/>
  <c r="I106" i="4"/>
  <c r="I44" i="4"/>
  <c r="I100" i="4"/>
  <c r="I112" i="4"/>
  <c r="J132" i="4"/>
  <c r="H132" i="4"/>
  <c r="I133" i="4"/>
  <c r="I160" i="4"/>
  <c r="J52" i="4"/>
  <c r="J58" i="4"/>
  <c r="J64" i="4"/>
  <c r="J70" i="4"/>
  <c r="J76" i="4"/>
  <c r="J82" i="4"/>
  <c r="J88" i="4"/>
  <c r="J94" i="4"/>
  <c r="J100" i="4"/>
  <c r="J106" i="4"/>
  <c r="J112" i="4"/>
  <c r="J120" i="4"/>
  <c r="H120" i="4"/>
  <c r="I121" i="4"/>
  <c r="J158" i="4"/>
  <c r="J137" i="4"/>
  <c r="H182" i="4"/>
  <c r="H185" i="4"/>
  <c r="H188" i="4"/>
  <c r="H191" i="4"/>
  <c r="H194" i="4"/>
  <c r="H197" i="4"/>
  <c r="J197" i="4"/>
  <c r="H200" i="4"/>
  <c r="H203" i="4"/>
  <c r="H206" i="4"/>
  <c r="H209" i="4"/>
  <c r="H212" i="4"/>
  <c r="H215" i="4"/>
  <c r="J215" i="4"/>
  <c r="J43" i="4"/>
  <c r="G40" i="4"/>
  <c r="J40" i="4" s="1"/>
  <c r="J42" i="4"/>
  <c r="J51" i="4"/>
  <c r="J57" i="4"/>
  <c r="J63" i="4"/>
  <c r="J69" i="4"/>
  <c r="J75" i="4"/>
  <c r="J81" i="4"/>
  <c r="J87" i="4"/>
  <c r="J93" i="4"/>
  <c r="J99" i="4"/>
  <c r="J105" i="4"/>
  <c r="J111" i="4"/>
  <c r="I116" i="4"/>
  <c r="G116" i="4"/>
  <c r="I148" i="4"/>
  <c r="H153" i="4"/>
  <c r="J153" i="4" s="1"/>
  <c r="H2" i="4"/>
  <c r="J2" i="4" s="1"/>
  <c r="H3" i="4"/>
  <c r="J3" i="4" s="1"/>
  <c r="H4" i="4"/>
  <c r="H5" i="4"/>
  <c r="J5" i="4" s="1"/>
  <c r="H6" i="4"/>
  <c r="J6" i="4" s="1"/>
  <c r="H7" i="4"/>
  <c r="H8" i="4"/>
  <c r="J8" i="4" s="1"/>
  <c r="H9" i="4"/>
  <c r="H10" i="4"/>
  <c r="J10" i="4" s="1"/>
  <c r="H11" i="4"/>
  <c r="J11" i="4" s="1"/>
  <c r="H12" i="4"/>
  <c r="J12" i="4" s="1"/>
  <c r="H13" i="4"/>
  <c r="J13" i="4" s="1"/>
  <c r="H14" i="4"/>
  <c r="J14" i="4" s="1"/>
  <c r="H15" i="4"/>
  <c r="J15" i="4" s="1"/>
  <c r="H16" i="4"/>
  <c r="J16" i="4" s="1"/>
  <c r="H17" i="4"/>
  <c r="J17" i="4" s="1"/>
  <c r="H18" i="4"/>
  <c r="H19" i="4"/>
  <c r="J19" i="4" s="1"/>
  <c r="H20" i="4"/>
  <c r="J20" i="4" s="1"/>
  <c r="H21" i="4"/>
  <c r="J21" i="4" s="1"/>
  <c r="H22" i="4"/>
  <c r="J22" i="4" s="1"/>
  <c r="H23" i="4"/>
  <c r="J23" i="4" s="1"/>
  <c r="H24" i="4"/>
  <c r="J24" i="4" s="1"/>
  <c r="H25" i="4"/>
  <c r="J25" i="4" s="1"/>
  <c r="H26" i="4"/>
  <c r="J26" i="4" s="1"/>
  <c r="H27" i="4"/>
  <c r="J27" i="4" s="1"/>
  <c r="H28" i="4"/>
  <c r="J28" i="4" s="1"/>
  <c r="H29" i="4"/>
  <c r="H30" i="4"/>
  <c r="H31" i="4"/>
  <c r="J31" i="4" s="1"/>
  <c r="H32" i="4"/>
  <c r="H33" i="4"/>
  <c r="J33" i="4" s="1"/>
  <c r="H34" i="4"/>
  <c r="J34" i="4" s="1"/>
  <c r="H35" i="4"/>
  <c r="J35" i="4" s="1"/>
  <c r="H36" i="4"/>
  <c r="H37" i="4"/>
  <c r="J37" i="4" s="1"/>
  <c r="H38" i="4"/>
  <c r="J38" i="4" s="1"/>
  <c r="H39" i="4"/>
  <c r="J39" i="4" s="1"/>
  <c r="J41" i="4"/>
  <c r="I50" i="4"/>
  <c r="I56" i="4"/>
  <c r="I62" i="4"/>
  <c r="I68" i="4"/>
  <c r="I74" i="4"/>
  <c r="I80" i="4"/>
  <c r="I86" i="4"/>
  <c r="I92" i="4"/>
  <c r="I98" i="4"/>
  <c r="I104" i="4"/>
  <c r="I110" i="4"/>
  <c r="J116" i="4"/>
  <c r="I120" i="4"/>
  <c r="J142" i="4"/>
  <c r="J146" i="4"/>
  <c r="H154" i="4"/>
  <c r="J154" i="4" s="1"/>
  <c r="H157" i="4"/>
  <c r="J157" i="4" s="1"/>
  <c r="I61" i="4"/>
  <c r="I79" i="4"/>
  <c r="I97" i="4"/>
  <c r="I109" i="4"/>
  <c r="I115" i="4"/>
  <c r="H181" i="4"/>
  <c r="H184" i="4"/>
  <c r="H187" i="4"/>
  <c r="H190" i="4"/>
  <c r="H193" i="4"/>
  <c r="J193" i="4" s="1"/>
  <c r="H196" i="4"/>
  <c r="J196" i="4"/>
  <c r="H199" i="4"/>
  <c r="H202" i="4"/>
  <c r="H205" i="4"/>
  <c r="H208" i="4"/>
  <c r="H211" i="4"/>
  <c r="J211" i="4" s="1"/>
  <c r="J130" i="4"/>
  <c r="I49" i="4"/>
  <c r="I55" i="4"/>
  <c r="I67" i="4"/>
  <c r="I73" i="4"/>
  <c r="I85" i="4"/>
  <c r="I91" i="4"/>
  <c r="I103" i="4"/>
  <c r="J118" i="4"/>
  <c r="I119" i="4"/>
  <c r="G119" i="4"/>
  <c r="J119" i="4" s="1"/>
  <c r="J161" i="4"/>
  <c r="H161" i="4"/>
  <c r="B30" i="5"/>
  <c r="B29" i="5"/>
  <c r="J49" i="4"/>
  <c r="J55" i="4"/>
  <c r="J61" i="4"/>
  <c r="J67" i="4"/>
  <c r="J73" i="4"/>
  <c r="J79" i="4"/>
  <c r="J85" i="4"/>
  <c r="J91" i="4"/>
  <c r="J97" i="4"/>
  <c r="J103" i="4"/>
  <c r="J109" i="4"/>
  <c r="J115" i="4"/>
  <c r="I136" i="4"/>
  <c r="H137" i="4"/>
  <c r="H141" i="4"/>
  <c r="J141" i="4" s="1"/>
  <c r="J145" i="4"/>
  <c r="H145" i="4"/>
  <c r="I172" i="4"/>
  <c r="H125" i="4"/>
  <c r="J125" i="4" s="1"/>
  <c r="J129" i="4"/>
  <c r="H129" i="4"/>
  <c r="G46" i="4"/>
  <c r="J46" i="4" s="1"/>
  <c r="J117" i="4"/>
  <c r="H117" i="4"/>
  <c r="H130" i="4"/>
  <c r="J133" i="4"/>
  <c r="I181" i="4"/>
  <c r="G181" i="4"/>
  <c r="J181" i="4" s="1"/>
  <c r="I184" i="4"/>
  <c r="G184" i="4"/>
  <c r="J184" i="4" s="1"/>
  <c r="I187" i="4"/>
  <c r="G187" i="4"/>
  <c r="J187" i="4" s="1"/>
  <c r="I190" i="4"/>
  <c r="G190" i="4"/>
  <c r="J190" i="4" s="1"/>
  <c r="I193" i="4"/>
  <c r="G193" i="4"/>
  <c r="I196" i="4"/>
  <c r="G196" i="4"/>
  <c r="I199" i="4"/>
  <c r="G199" i="4"/>
  <c r="J199" i="4" s="1"/>
  <c r="I202" i="4"/>
  <c r="G202" i="4"/>
  <c r="J202" i="4" s="1"/>
  <c r="I205" i="4"/>
  <c r="G205" i="4"/>
  <c r="J205" i="4" s="1"/>
  <c r="I208" i="4"/>
  <c r="G208" i="4"/>
  <c r="J208" i="4" s="1"/>
  <c r="I211" i="4"/>
  <c r="G211" i="4"/>
  <c r="I214" i="4"/>
  <c r="G214" i="4"/>
  <c r="I217" i="4"/>
  <c r="G217" i="4"/>
  <c r="I229" i="4"/>
  <c r="G229" i="4"/>
  <c r="J229" i="4" s="1"/>
  <c r="I107" i="4"/>
  <c r="I113" i="4"/>
  <c r="J121" i="4"/>
  <c r="I123" i="4"/>
  <c r="J149" i="4"/>
  <c r="H180" i="4"/>
  <c r="H183" i="4"/>
  <c r="J183" i="4"/>
  <c r="H186" i="4"/>
  <c r="H189" i="4"/>
  <c r="J189" i="4"/>
  <c r="H192" i="4"/>
  <c r="H195" i="4"/>
  <c r="J195" i="4"/>
  <c r="H198" i="4"/>
  <c r="H201" i="4"/>
  <c r="J201" i="4"/>
  <c r="H204" i="4"/>
  <c r="H207" i="4"/>
  <c r="J207" i="4"/>
  <c r="H210" i="4"/>
  <c r="H213" i="4"/>
  <c r="J213" i="4"/>
  <c r="H216" i="4"/>
  <c r="I180" i="4"/>
  <c r="G180" i="4"/>
  <c r="J180" i="4" s="1"/>
  <c r="I183" i="4"/>
  <c r="G183" i="4"/>
  <c r="I186" i="4"/>
  <c r="G186" i="4"/>
  <c r="J186" i="4" s="1"/>
  <c r="I189" i="4"/>
  <c r="G189" i="4"/>
  <c r="I192" i="4"/>
  <c r="G192" i="4"/>
  <c r="J192" i="4" s="1"/>
  <c r="I195" i="4"/>
  <c r="G195" i="4"/>
  <c r="I198" i="4"/>
  <c r="G198" i="4"/>
  <c r="J198" i="4" s="1"/>
  <c r="I201" i="4"/>
  <c r="G201" i="4"/>
  <c r="I204" i="4"/>
  <c r="G204" i="4"/>
  <c r="J204" i="4" s="1"/>
  <c r="I207" i="4"/>
  <c r="G207" i="4"/>
  <c r="I210" i="4"/>
  <c r="G210" i="4"/>
  <c r="J210" i="4" s="1"/>
  <c r="I213" i="4"/>
  <c r="G213" i="4"/>
  <c r="I216" i="4"/>
  <c r="G216" i="4"/>
  <c r="J216" i="4" s="1"/>
  <c r="I225" i="4"/>
  <c r="G225" i="4"/>
  <c r="I237" i="4"/>
  <c r="G237" i="4"/>
  <c r="J237" i="4" s="1"/>
  <c r="H224" i="4"/>
  <c r="H236" i="4"/>
  <c r="J236" i="4"/>
  <c r="H248" i="4"/>
  <c r="I143" i="4"/>
  <c r="I155" i="4"/>
  <c r="I167" i="4"/>
  <c r="I118" i="4"/>
  <c r="I130" i="4"/>
  <c r="I142" i="4"/>
  <c r="I154" i="4"/>
  <c r="H156" i="4"/>
  <c r="I166" i="4"/>
  <c r="I178" i="4"/>
  <c r="I117" i="4"/>
  <c r="I129" i="4"/>
  <c r="I141" i="4"/>
  <c r="I153" i="4"/>
  <c r="I165" i="4"/>
  <c r="I177" i="4"/>
  <c r="I182" i="4"/>
  <c r="G182" i="4"/>
  <c r="J182" i="4" s="1"/>
  <c r="I185" i="4"/>
  <c r="G185" i="4"/>
  <c r="J185" i="4" s="1"/>
  <c r="I188" i="4"/>
  <c r="G188" i="4"/>
  <c r="J188" i="4" s="1"/>
  <c r="I191" i="4"/>
  <c r="G191" i="4"/>
  <c r="J191" i="4" s="1"/>
  <c r="I194" i="4"/>
  <c r="G194" i="4"/>
  <c r="J194" i="4" s="1"/>
  <c r="I197" i="4"/>
  <c r="G197" i="4"/>
  <c r="I200" i="4"/>
  <c r="G200" i="4"/>
  <c r="J200" i="4" s="1"/>
  <c r="I203" i="4"/>
  <c r="G203" i="4"/>
  <c r="J203" i="4" s="1"/>
  <c r="I206" i="4"/>
  <c r="G206" i="4"/>
  <c r="J206" i="4" s="1"/>
  <c r="I209" i="4"/>
  <c r="G209" i="4"/>
  <c r="J209" i="4" s="1"/>
  <c r="I212" i="4"/>
  <c r="G212" i="4"/>
  <c r="J212" i="4" s="1"/>
  <c r="I218" i="4"/>
  <c r="G218" i="4"/>
  <c r="J218" i="4" s="1"/>
  <c r="I221" i="4"/>
  <c r="G221" i="4"/>
  <c r="I233" i="4"/>
  <c r="G233" i="4"/>
  <c r="J233" i="4" s="1"/>
  <c r="H217" i="4"/>
  <c r="J217" i="4"/>
  <c r="H220" i="4"/>
  <c r="H232" i="4"/>
  <c r="J232" i="4"/>
  <c r="H244" i="4"/>
  <c r="I127" i="4"/>
  <c r="I139" i="4"/>
  <c r="I151" i="4"/>
  <c r="I163" i="4"/>
  <c r="I175" i="4"/>
  <c r="I126" i="4"/>
  <c r="I138" i="4"/>
  <c r="I162" i="4"/>
  <c r="I174" i="4"/>
  <c r="H228" i="4"/>
  <c r="J228" i="4"/>
  <c r="H240" i="4"/>
  <c r="H252" i="4"/>
  <c r="I159" i="4"/>
  <c r="I171" i="4"/>
  <c r="I122" i="4"/>
  <c r="I134" i="4"/>
  <c r="I146" i="4"/>
  <c r="I158" i="4"/>
  <c r="I170" i="4"/>
  <c r="J214" i="4"/>
  <c r="J238" i="4"/>
  <c r="J246" i="4"/>
  <c r="J250" i="4"/>
  <c r="J221" i="4"/>
  <c r="J225" i="4"/>
  <c r="I220" i="4"/>
  <c r="G220" i="4"/>
  <c r="J220" i="4" s="1"/>
  <c r="I224" i="4"/>
  <c r="G224" i="4"/>
  <c r="J224" i="4" s="1"/>
  <c r="I228" i="4"/>
  <c r="G228" i="4"/>
  <c r="I232" i="4"/>
  <c r="G232" i="4"/>
  <c r="I236" i="4"/>
  <c r="G236" i="4"/>
  <c r="I215" i="4"/>
  <c r="G215" i="4"/>
  <c r="I219" i="4"/>
  <c r="G219" i="4"/>
  <c r="J219" i="4" s="1"/>
  <c r="I223" i="4"/>
  <c r="G223" i="4"/>
  <c r="I227" i="4"/>
  <c r="G227" i="4"/>
  <c r="J227" i="4" s="1"/>
  <c r="I231" i="4"/>
  <c r="G231" i="4"/>
  <c r="I235" i="4"/>
  <c r="G235" i="4"/>
  <c r="J235" i="4" s="1"/>
  <c r="J179" i="4"/>
  <c r="J223" i="4"/>
  <c r="J231" i="4"/>
  <c r="J239" i="4"/>
  <c r="J243" i="4"/>
  <c r="I222" i="4"/>
  <c r="G222" i="4"/>
  <c r="J222" i="4" s="1"/>
  <c r="I226" i="4"/>
  <c r="G226" i="4"/>
  <c r="J226" i="4" s="1"/>
  <c r="I230" i="4"/>
  <c r="G230" i="4"/>
  <c r="J230" i="4" s="1"/>
  <c r="I234" i="4"/>
  <c r="G234" i="4"/>
  <c r="J234" i="4" s="1"/>
  <c r="I238" i="4"/>
  <c r="G238" i="4"/>
  <c r="G239" i="4"/>
  <c r="G240" i="4"/>
  <c r="J240" i="4" s="1"/>
  <c r="G241" i="4"/>
  <c r="J241" i="4" s="1"/>
  <c r="G242" i="4"/>
  <c r="J242" i="4" s="1"/>
  <c r="G243" i="4"/>
  <c r="G244" i="4"/>
  <c r="J244" i="4" s="1"/>
  <c r="G245" i="4"/>
  <c r="J245" i="4" s="1"/>
  <c r="G246" i="4"/>
  <c r="G247" i="4"/>
  <c r="J247" i="4" s="1"/>
  <c r="G248" i="4"/>
  <c r="J248" i="4" s="1"/>
  <c r="G249" i="4"/>
  <c r="J249" i="4" s="1"/>
  <c r="G250" i="4"/>
  <c r="G251" i="4"/>
  <c r="J251" i="4" s="1"/>
  <c r="G252" i="4"/>
  <c r="J252" i="4" s="1"/>
  <c r="G253" i="4"/>
  <c r="G254" i="4"/>
  <c r="J254" i="4" s="1"/>
  <c r="G255" i="4"/>
  <c r="J255" i="4" s="1"/>
  <c r="C8" i="5" l="1"/>
  <c r="H18" i="5"/>
  <c r="D8" i="5"/>
  <c r="B8" i="5"/>
  <c r="B18" i="5"/>
  <c r="E18" i="5"/>
  <c r="H8" i="5"/>
  <c r="G8" i="5"/>
  <c r="E8" i="5"/>
  <c r="G18" i="5"/>
  <c r="D18" i="5"/>
  <c r="C18" i="5"/>
  <c r="F18" i="5" s="1"/>
  <c r="C15" i="5"/>
  <c r="H15" i="5"/>
  <c r="E15" i="5"/>
  <c r="B15" i="5"/>
  <c r="G15" i="5"/>
  <c r="D15" i="5"/>
  <c r="D7" i="5"/>
  <c r="D22" i="5"/>
  <c r="C22" i="5"/>
  <c r="F22" i="5" s="1"/>
  <c r="H22" i="5"/>
  <c r="G22" i="5"/>
  <c r="E22" i="5"/>
  <c r="B22" i="5"/>
  <c r="C16" i="5"/>
  <c r="D16" i="5"/>
  <c r="E16" i="5"/>
  <c r="G16" i="5"/>
  <c r="B16" i="5"/>
  <c r="H16" i="5"/>
  <c r="B32" i="5"/>
  <c r="B31" i="5"/>
  <c r="G19" i="5"/>
  <c r="C6" i="5"/>
  <c r="E6" i="5"/>
  <c r="E10" i="5" s="1"/>
  <c r="D6" i="5"/>
  <c r="B6" i="5"/>
  <c r="C19" i="5"/>
  <c r="H6" i="5"/>
  <c r="B19" i="5"/>
  <c r="G6" i="5"/>
  <c r="E19" i="5"/>
  <c r="H19" i="5"/>
  <c r="D19" i="5"/>
  <c r="D17" i="5"/>
  <c r="G9" i="5"/>
  <c r="D9" i="5"/>
  <c r="E9" i="5"/>
  <c r="H9" i="5"/>
  <c r="C20" i="5"/>
  <c r="C9" i="5"/>
  <c r="B9" i="5"/>
  <c r="D20" i="5"/>
  <c r="H20" i="5"/>
  <c r="E20" i="5"/>
  <c r="B20" i="5"/>
  <c r="G20" i="5"/>
  <c r="E21" i="5"/>
  <c r="D21" i="5"/>
  <c r="H21" i="5"/>
  <c r="G21" i="5"/>
  <c r="C21" i="5"/>
  <c r="B21" i="5"/>
  <c r="B17" i="5"/>
  <c r="E17" i="5"/>
  <c r="B7" i="5"/>
  <c r="C7" i="5"/>
  <c r="F7" i="5" s="1"/>
  <c r="E7" i="5"/>
  <c r="G7" i="5"/>
  <c r="C17" i="5"/>
  <c r="F17" i="5" s="1"/>
  <c r="H17" i="5"/>
  <c r="H7" i="5"/>
  <c r="G17" i="5"/>
  <c r="F6" i="5" l="1"/>
  <c r="C10" i="5"/>
  <c r="G10" i="5"/>
  <c r="D23" i="5"/>
  <c r="G23" i="5"/>
  <c r="H10" i="5"/>
  <c r="B23" i="5"/>
  <c r="F9" i="5"/>
  <c r="F21" i="5"/>
  <c r="F20" i="5"/>
  <c r="F19" i="5"/>
  <c r="E23" i="5"/>
  <c r="B10" i="5"/>
  <c r="F16" i="5"/>
  <c r="H23" i="5"/>
  <c r="D10" i="5"/>
  <c r="F15" i="5"/>
  <c r="C23" i="5"/>
  <c r="F23" i="5" s="1"/>
  <c r="F8" i="5"/>
  <c r="F10" i="5" l="1"/>
</calcChain>
</file>

<file path=xl/sharedStrings.xml><?xml version="1.0" encoding="utf-8"?>
<sst xmlns="http://schemas.openxmlformats.org/spreadsheetml/2006/main" count="3302" uniqueCount="609">
  <si>
    <t>Position Price Verification - Valuation Control Workbook</t>
  </si>
  <si>
    <t>SYNTHETIC DATA ONLY. No real bank, client or market data is used. Built as a learning / portfolio project.</t>
  </si>
  <si>
    <t>Purpose</t>
  </si>
  <si>
    <t>Compare desk marks (BookPrice) with independent prices, flag positions outside asset-class tolerance, and report data-quality issues.</t>
  </si>
  <si>
    <t>Sheets</t>
  </si>
  <si>
    <t>Thresholds - tolerance per asset class and the Report Date (inputs, blue font).</t>
  </si>
  <si>
    <t>Raw_Data - deliberately messy input: duplicates, missing independent prices, stale dates, text-case/space issues, one unmapped asset class label.</t>
  </si>
  <si>
    <t>Checks - formula-driven control test on every Raw_Data row (works without macros).</t>
  </si>
  <si>
    <t>Summary - breach counts, rates and net market-value differences by asset class and by desk, plus data-quality counts.</t>
  </si>
  <si>
    <t>VBA (separate file ValuationAutomation.bas) - one-click automation: cleans, tests, builds Clean_Data + Exceptions + Run_Log, exports Clean_Positions.csv.</t>
  </si>
  <si>
    <t>Rules</t>
  </si>
  <si>
    <t>Variance % = (BookPrice - IndependentPrice) / IndependentPrice.</t>
  </si>
  <si>
    <t>Status priority: UNMAPPED ASSET CLASS &gt; NO INDEPENDENT PRICE &gt; BREACH (|Variance %| &gt; tolerance) &gt; OK.</t>
  </si>
  <si>
    <t>Market value difference = Quantity x (BookPrice - IndependentPrice), in local currency, price per unit. No FX conversion (assumption).</t>
  </si>
  <si>
    <t>Duplicates: first occurrence of a PositionID is kept; later copies are flagged DUP and excluded from Summary.</t>
  </si>
  <si>
    <t>Breach rate = Breaches / (OK + Breaches), i.e. positions that could actually be tested.</t>
  </si>
  <si>
    <t>Assumptions</t>
  </si>
  <si>
    <t>Tolerances (Equity 1.00%, Corporate Bond 0.50%, Government Bond 0.25%, FX Forward 0.30%) are illustrative values chosen by the author, not any bank's policy.</t>
  </si>
  <si>
    <t>Report Date 28-Sep-2026 is an input; rows with a different ValuationDate are flagged STALE.</t>
  </si>
  <si>
    <t>Colour legend</t>
  </si>
  <si>
    <t>Blue font = hard-coded input | Black = formula | Green = link to another sheet | Yellow fill = key input to change.</t>
  </si>
  <si>
    <t>Asset Class</t>
  </si>
  <si>
    <t>Tolerance (%)</t>
  </si>
  <si>
    <t>Report Date</t>
  </si>
  <si>
    <t>Equity</t>
  </si>
  <si>
    <t>Corporate Bond</t>
  </si>
  <si>
    <t>Government Bond</t>
  </si>
  <si>
    <t>FX Forward</t>
  </si>
  <si>
    <t>Note: tolerances are illustrative author assumptions. Edit blue cells to test other thresholds; Checks and Summary recalculate.</t>
  </si>
  <si>
    <t>PositionID</t>
  </si>
  <si>
    <t>ValuationDate</t>
  </si>
  <si>
    <t>Desk</t>
  </si>
  <si>
    <t>AssetClass</t>
  </si>
  <si>
    <t>Instrument</t>
  </si>
  <si>
    <t>Currency</t>
  </si>
  <si>
    <t>Quantity</t>
  </si>
  <si>
    <t>BookPrice</t>
  </si>
  <si>
    <t>IndependentPrice</t>
  </si>
  <si>
    <t>P0001</t>
  </si>
  <si>
    <t>Singapore Equities</t>
  </si>
  <si>
    <t>EQ-0053</t>
  </si>
  <si>
    <t>SGD</t>
  </si>
  <si>
    <t>P0002</t>
  </si>
  <si>
    <t>Singapore FX</t>
  </si>
  <si>
    <t>FX-0004</t>
  </si>
  <si>
    <t>P0003</t>
  </si>
  <si>
    <t>New York Credit</t>
  </si>
  <si>
    <t>CB-0042</t>
  </si>
  <si>
    <t>USD</t>
  </si>
  <si>
    <t>P0004</t>
  </si>
  <si>
    <t>London Credit</t>
  </si>
  <si>
    <t>CB-0003</t>
  </si>
  <si>
    <t>GBP</t>
  </si>
  <si>
    <t>P0005</t>
  </si>
  <si>
    <t>Zurich FX</t>
  </si>
  <si>
    <t>FX-0026</t>
  </si>
  <si>
    <t>CHF</t>
  </si>
  <si>
    <t>P0006</t>
  </si>
  <si>
    <t>FX-0038</t>
  </si>
  <si>
    <t>P0007</t>
  </si>
  <si>
    <t>Zurich Equities</t>
  </si>
  <si>
    <t>EQ-0050</t>
  </si>
  <si>
    <t>P0008</t>
  </si>
  <si>
    <t>CB-0017</t>
  </si>
  <si>
    <t>P0009</t>
  </si>
  <si>
    <t>CB-0065</t>
  </si>
  <si>
    <t>P0010</t>
  </si>
  <si>
    <t>EQ-0048</t>
  </si>
  <si>
    <t>P0011</t>
  </si>
  <si>
    <t>FX-0016</t>
  </si>
  <si>
    <t>P0012</t>
  </si>
  <si>
    <t>CB-0030</t>
  </si>
  <si>
    <t>P0013</t>
  </si>
  <si>
    <t>CB-0010</t>
  </si>
  <si>
    <t>P0014</t>
  </si>
  <si>
    <t>EQ-0022</t>
  </si>
  <si>
    <t>P0015</t>
  </si>
  <si>
    <t>New York Rates</t>
  </si>
  <si>
    <t>GB-0054</t>
  </si>
  <si>
    <t>P0016</t>
  </si>
  <si>
    <t>CB-0009</t>
  </si>
  <si>
    <t>P0017</t>
  </si>
  <si>
    <t>CB-0057</t>
  </si>
  <si>
    <t>P0018</t>
  </si>
  <si>
    <t>EQ-0064</t>
  </si>
  <si>
    <t>P0019</t>
  </si>
  <si>
    <t>GB-0018</t>
  </si>
  <si>
    <t>P0020</t>
  </si>
  <si>
    <t>EQ-0051</t>
  </si>
  <si>
    <t>P0021</t>
  </si>
  <si>
    <t>CB-0008</t>
  </si>
  <si>
    <t>P0022</t>
  </si>
  <si>
    <t>CB-0060</t>
  </si>
  <si>
    <t>P0023</t>
  </si>
  <si>
    <t>CB-0054</t>
  </si>
  <si>
    <t>P0024</t>
  </si>
  <si>
    <t>London Rates</t>
  </si>
  <si>
    <t>GB-0060</t>
  </si>
  <si>
    <t>P0025</t>
  </si>
  <si>
    <t>CB-0051</t>
  </si>
  <si>
    <t>P0026</t>
  </si>
  <si>
    <t>GB-0011</t>
  </si>
  <si>
    <t>P0027</t>
  </si>
  <si>
    <t>CB-0048</t>
  </si>
  <si>
    <t>P0028</t>
  </si>
  <si>
    <t>Gov Bond</t>
  </si>
  <si>
    <t>GB-0035</t>
  </si>
  <si>
    <t>P0029</t>
  </si>
  <si>
    <t>CB-0036</t>
  </si>
  <si>
    <t>P0030</t>
  </si>
  <si>
    <t xml:space="preserve">equity </t>
  </si>
  <si>
    <t>EQ-0011</t>
  </si>
  <si>
    <t>P0031</t>
  </si>
  <si>
    <t>GB-0010</t>
  </si>
  <si>
    <t>P0032</t>
  </si>
  <si>
    <t>CB-0002</t>
  </si>
  <si>
    <t>P0033</t>
  </si>
  <si>
    <t>EQ-0074</t>
  </si>
  <si>
    <t>P0034</t>
  </si>
  <si>
    <t>GB-0027</t>
  </si>
  <si>
    <t>P0035</t>
  </si>
  <si>
    <t>EQ-0075</t>
  </si>
  <si>
    <t>P0036</t>
  </si>
  <si>
    <t>CB-0026</t>
  </si>
  <si>
    <t>P0037</t>
  </si>
  <si>
    <t>FX-0040</t>
  </si>
  <si>
    <t>P0038</t>
  </si>
  <si>
    <t>EQ-0063</t>
  </si>
  <si>
    <t>P0039</t>
  </si>
  <si>
    <t>CB-0029</t>
  </si>
  <si>
    <t>P0040</t>
  </si>
  <si>
    <t>CB-0031</t>
  </si>
  <si>
    <t>P0041</t>
  </si>
  <si>
    <t>CB-0023</t>
  </si>
  <si>
    <t>P0042</t>
  </si>
  <si>
    <t>FX-0008</t>
  </si>
  <si>
    <t>P0043</t>
  </si>
  <si>
    <t>GB-0030</t>
  </si>
  <si>
    <t>P0044</t>
  </si>
  <si>
    <t>GB-0025</t>
  </si>
  <si>
    <t>P0045</t>
  </si>
  <si>
    <t>CB-0050</t>
  </si>
  <si>
    <t>P0046</t>
  </si>
  <si>
    <t>CB-0024</t>
  </si>
  <si>
    <t>P0047</t>
  </si>
  <si>
    <t>EQ-0038</t>
  </si>
  <si>
    <t>P0048</t>
  </si>
  <si>
    <t>EQ-0041</t>
  </si>
  <si>
    <t>P0049</t>
  </si>
  <si>
    <t>GB-0003</t>
  </si>
  <si>
    <t>P0050</t>
  </si>
  <si>
    <t>EQ-0018</t>
  </si>
  <si>
    <t>P0051</t>
  </si>
  <si>
    <t>CB-0001</t>
  </si>
  <si>
    <t>P0052</t>
  </si>
  <si>
    <t>GB-0028</t>
  </si>
  <si>
    <t>P0053</t>
  </si>
  <si>
    <t>GB-0022</t>
  </si>
  <si>
    <t>P0054</t>
  </si>
  <si>
    <t>EQ-0069</t>
  </si>
  <si>
    <t>P0055</t>
  </si>
  <si>
    <t>EQ-0021</t>
  </si>
  <si>
    <t>P0056</t>
  </si>
  <si>
    <t>CB-0052</t>
  </si>
  <si>
    <t>P0057</t>
  </si>
  <si>
    <t>EQ-0005</t>
  </si>
  <si>
    <t>P0058</t>
  </si>
  <si>
    <t>CB-0068</t>
  </si>
  <si>
    <t>P0059</t>
  </si>
  <si>
    <t>CB-0061</t>
  </si>
  <si>
    <t>P0060</t>
  </si>
  <si>
    <t>CB-0045</t>
  </si>
  <si>
    <t>P0061</t>
  </si>
  <si>
    <t>CB-0006</t>
  </si>
  <si>
    <t>P0062</t>
  </si>
  <si>
    <t>EQ-0044</t>
  </si>
  <si>
    <t>P0063</t>
  </si>
  <si>
    <t>GB-0055</t>
  </si>
  <si>
    <t>P0064</t>
  </si>
  <si>
    <t>FX-0025</t>
  </si>
  <si>
    <t>P0065</t>
  </si>
  <si>
    <t>EQ-0062</t>
  </si>
  <si>
    <t>P0066</t>
  </si>
  <si>
    <t>EQ-0008</t>
  </si>
  <si>
    <t>P0067</t>
  </si>
  <si>
    <t>FX-0034</t>
  </si>
  <si>
    <t>P0068</t>
  </si>
  <si>
    <t>EQ-0059</t>
  </si>
  <si>
    <t>P0069</t>
  </si>
  <si>
    <t>EQ-0039</t>
  </si>
  <si>
    <t>P0070</t>
  </si>
  <si>
    <t>EQ-0067</t>
  </si>
  <si>
    <t>P0071</t>
  </si>
  <si>
    <t>FX-0018</t>
  </si>
  <si>
    <t>P0072</t>
  </si>
  <si>
    <t xml:space="preserve">Equity  </t>
  </si>
  <si>
    <t>EQ-0029</t>
  </si>
  <si>
    <t>P0073</t>
  </si>
  <si>
    <t>EQ-0065</t>
  </si>
  <si>
    <t>P0074</t>
  </si>
  <si>
    <t>EQ-0079</t>
  </si>
  <si>
    <t>P0075</t>
  </si>
  <si>
    <t>EQ-0014</t>
  </si>
  <si>
    <t>P0076</t>
  </si>
  <si>
    <t>CB-0011</t>
  </si>
  <si>
    <t>P0077</t>
  </si>
  <si>
    <t>FX-0014</t>
  </si>
  <si>
    <t>P0078</t>
  </si>
  <si>
    <t>EQ-0047</t>
  </si>
  <si>
    <t>P0079</t>
  </si>
  <si>
    <t>FX-0001</t>
  </si>
  <si>
    <t>P0080</t>
  </si>
  <si>
    <t>CB-0062</t>
  </si>
  <si>
    <t>P0081</t>
  </si>
  <si>
    <t>FX-0005</t>
  </si>
  <si>
    <t>P0082</t>
  </si>
  <si>
    <t>CB-0038</t>
  </si>
  <si>
    <t>P0083</t>
  </si>
  <si>
    <t>FX-0013</t>
  </si>
  <si>
    <t>P0084</t>
  </si>
  <si>
    <t>EQ-0054</t>
  </si>
  <si>
    <t>P0085</t>
  </si>
  <si>
    <t>GB-0006</t>
  </si>
  <si>
    <t>P0086</t>
  </si>
  <si>
    <t>GB-0033</t>
  </si>
  <si>
    <t>P0087</t>
  </si>
  <si>
    <t>FX-0024</t>
  </si>
  <si>
    <t>P0088</t>
  </si>
  <si>
    <t>CB-0019</t>
  </si>
  <si>
    <t>P0089</t>
  </si>
  <si>
    <t>EQ-0003</t>
  </si>
  <si>
    <t>P0090</t>
  </si>
  <si>
    <t>EQUITY</t>
  </si>
  <si>
    <t>EQ-0042</t>
  </si>
  <si>
    <t>P0091</t>
  </si>
  <si>
    <t>CB-0035</t>
  </si>
  <si>
    <t>P0092</t>
  </si>
  <si>
    <t>EQ-0031</t>
  </si>
  <si>
    <t>P0093</t>
  </si>
  <si>
    <t>EQ-0046</t>
  </si>
  <si>
    <t>P0094</t>
  </si>
  <si>
    <t>EQ-0002</t>
  </si>
  <si>
    <t>P0095</t>
  </si>
  <si>
    <t>FX FORWARD</t>
  </si>
  <si>
    <t>FX-0019</t>
  </si>
  <si>
    <t>P0096</t>
  </si>
  <si>
    <t>GB-0051</t>
  </si>
  <si>
    <t>P0097</t>
  </si>
  <si>
    <t>CB-0005</t>
  </si>
  <si>
    <t>P0098</t>
  </si>
  <si>
    <t>EQ-0015</t>
  </si>
  <si>
    <t>P0099</t>
  </si>
  <si>
    <t>EQ-0023</t>
  </si>
  <si>
    <t>P0100</t>
  </si>
  <si>
    <t>EQ-0033</t>
  </si>
  <si>
    <t>P0101</t>
  </si>
  <si>
    <t>FX-0017</t>
  </si>
  <si>
    <t>P0102</t>
  </si>
  <si>
    <t>FX-0012</t>
  </si>
  <si>
    <t>P0103</t>
  </si>
  <si>
    <t>GB-0005</t>
  </si>
  <si>
    <t>P0104</t>
  </si>
  <si>
    <t>GB-0019</t>
  </si>
  <si>
    <t>P0105</t>
  </si>
  <si>
    <t>EQ-0001</t>
  </si>
  <si>
    <t>P0106</t>
  </si>
  <si>
    <t>EQ-0077</t>
  </si>
  <si>
    <t>P0107</t>
  </si>
  <si>
    <t>CB-0043</t>
  </si>
  <si>
    <t>P0108</t>
  </si>
  <si>
    <t>EQ-0019</t>
  </si>
  <si>
    <t>P0109</t>
  </si>
  <si>
    <t>GB-0032</t>
  </si>
  <si>
    <t>P0110</t>
  </si>
  <si>
    <t xml:space="preserve">Government Bond  </t>
  </si>
  <si>
    <t>GB-0041</t>
  </si>
  <si>
    <t>P0111</t>
  </si>
  <si>
    <t>GB-0039</t>
  </si>
  <si>
    <t>P0112</t>
  </si>
  <si>
    <t>CB-0032</t>
  </si>
  <si>
    <t>P0113</t>
  </si>
  <si>
    <t>FX-0036</t>
  </si>
  <si>
    <t>P0114</t>
  </si>
  <si>
    <t>GB-0037</t>
  </si>
  <si>
    <t>P0115</t>
  </si>
  <si>
    <t>FX-0010</t>
  </si>
  <si>
    <t>P0116</t>
  </si>
  <si>
    <t>GB-0034</t>
  </si>
  <si>
    <t>P0117</t>
  </si>
  <si>
    <t>CB-0055</t>
  </si>
  <si>
    <t>P0118</t>
  </si>
  <si>
    <t>GB-0040</t>
  </si>
  <si>
    <t>P0119</t>
  </si>
  <si>
    <t>GB-0002</t>
  </si>
  <si>
    <t>P0120</t>
  </si>
  <si>
    <t>CB-0067</t>
  </si>
  <si>
    <t>P0121</t>
  </si>
  <si>
    <t>EQ-0027</t>
  </si>
  <si>
    <t>P0122</t>
  </si>
  <si>
    <t>EQ-0073</t>
  </si>
  <si>
    <t>P0123</t>
  </si>
  <si>
    <t>GB-0015</t>
  </si>
  <si>
    <t>P0124</t>
  </si>
  <si>
    <t>GB-0026</t>
  </si>
  <si>
    <t>P0125</t>
  </si>
  <si>
    <t>CB-0053</t>
  </si>
  <si>
    <t>P0126</t>
  </si>
  <si>
    <t>FX-0021</t>
  </si>
  <si>
    <t>P0127</t>
  </si>
  <si>
    <t>CB-0021</t>
  </si>
  <si>
    <t>P0128</t>
  </si>
  <si>
    <t>EQ-0013</t>
  </si>
  <si>
    <t>P0129</t>
  </si>
  <si>
    <t>EQ-0006</t>
  </si>
  <si>
    <t>P0130</t>
  </si>
  <si>
    <t>EQ-0055</t>
  </si>
  <si>
    <t>P0131</t>
  </si>
  <si>
    <t>GB-0053</t>
  </si>
  <si>
    <t>P0132</t>
  </si>
  <si>
    <t>GB-0008</t>
  </si>
  <si>
    <t>P0133</t>
  </si>
  <si>
    <t>GB-0048</t>
  </si>
  <si>
    <t>P0134</t>
  </si>
  <si>
    <t>EQ-0049</t>
  </si>
  <si>
    <t>P0135</t>
  </si>
  <si>
    <t>EQ-0071</t>
  </si>
  <si>
    <t>P0136</t>
  </si>
  <si>
    <t>FX-0031</t>
  </si>
  <si>
    <t>P0137</t>
  </si>
  <si>
    <t>EQ-0016</t>
  </si>
  <si>
    <t>P0138</t>
  </si>
  <si>
    <t>CB-0012</t>
  </si>
  <si>
    <t>P0139</t>
  </si>
  <si>
    <t>CB-0066</t>
  </si>
  <si>
    <t>P0140</t>
  </si>
  <si>
    <t>GB-0004</t>
  </si>
  <si>
    <t>P0141</t>
  </si>
  <si>
    <t>CB-0013</t>
  </si>
  <si>
    <t>P0142</t>
  </si>
  <si>
    <t>GB-0012</t>
  </si>
  <si>
    <t>P0143</t>
  </si>
  <si>
    <t xml:space="preserve"> Government Bond</t>
  </si>
  <si>
    <t>GB-0031</t>
  </si>
  <si>
    <t>P0144</t>
  </si>
  <si>
    <t xml:space="preserve">corporate bond </t>
  </si>
  <si>
    <t>CB-0034</t>
  </si>
  <si>
    <t>P0145</t>
  </si>
  <si>
    <t>EQ-0056</t>
  </si>
  <si>
    <t>P0146</t>
  </si>
  <si>
    <t>GB-0029</t>
  </si>
  <si>
    <t>P0147</t>
  </si>
  <si>
    <t>FX-0037</t>
  </si>
  <si>
    <t>P0148</t>
  </si>
  <si>
    <t>EQ-0072</t>
  </si>
  <si>
    <t>P0149</t>
  </si>
  <si>
    <t>GB-0021</t>
  </si>
  <si>
    <t>P0150</t>
  </si>
  <si>
    <t>CB-0046</t>
  </si>
  <si>
    <t>P0151</t>
  </si>
  <si>
    <t>EQ-0026</t>
  </si>
  <si>
    <t>P0152</t>
  </si>
  <si>
    <t>FX-0027</t>
  </si>
  <si>
    <t>P0153</t>
  </si>
  <si>
    <t>EQ-0040</t>
  </si>
  <si>
    <t>P0154</t>
  </si>
  <si>
    <t>GB-0001</t>
  </si>
  <si>
    <t>P0155</t>
  </si>
  <si>
    <t>CB-0028</t>
  </si>
  <si>
    <t>P0156</t>
  </si>
  <si>
    <t>FX-0022</t>
  </si>
  <si>
    <t>P0157</t>
  </si>
  <si>
    <t>GB-0046</t>
  </si>
  <si>
    <t>P0158</t>
  </si>
  <si>
    <t xml:space="preserve">government bond </t>
  </si>
  <si>
    <t>GB-0047</t>
  </si>
  <si>
    <t>P0159</t>
  </si>
  <si>
    <t>CB-0020</t>
  </si>
  <si>
    <t>P0160</t>
  </si>
  <si>
    <t>EQ-0035</t>
  </si>
  <si>
    <t>P0161</t>
  </si>
  <si>
    <t>GB-0049</t>
  </si>
  <si>
    <t>P0162</t>
  </si>
  <si>
    <t>EQ-0061</t>
  </si>
  <si>
    <t>P0163</t>
  </si>
  <si>
    <t>EQ-0025</t>
  </si>
  <si>
    <t>P0164</t>
  </si>
  <si>
    <t>GB-0020</t>
  </si>
  <si>
    <t>P0165</t>
  </si>
  <si>
    <t>CB-0047</t>
  </si>
  <si>
    <t>P0166</t>
  </si>
  <si>
    <t>GB-0059</t>
  </si>
  <si>
    <t>P0167</t>
  </si>
  <si>
    <t>EQ-0010</t>
  </si>
  <si>
    <t>P0168</t>
  </si>
  <si>
    <t>EQ-0012</t>
  </si>
  <si>
    <t>P0169</t>
  </si>
  <si>
    <t>EQ-0036</t>
  </si>
  <si>
    <t>P0170</t>
  </si>
  <si>
    <t>FX-0006</t>
  </si>
  <si>
    <t>P0171</t>
  </si>
  <si>
    <t>CB-0025</t>
  </si>
  <si>
    <t>P0172</t>
  </si>
  <si>
    <t>GB-0017</t>
  </si>
  <si>
    <t>P0173</t>
  </si>
  <si>
    <t>EQ-0078</t>
  </si>
  <si>
    <t>P0174</t>
  </si>
  <si>
    <t>CB-0039</t>
  </si>
  <si>
    <t>P0175</t>
  </si>
  <si>
    <t>GB-0013</t>
  </si>
  <si>
    <t>P0176</t>
  </si>
  <si>
    <t>EQ-0017</t>
  </si>
  <si>
    <t>P0177</t>
  </si>
  <si>
    <t>GB-0016</t>
  </si>
  <si>
    <t>P0178</t>
  </si>
  <si>
    <t>EQ-0057</t>
  </si>
  <si>
    <t>P0179</t>
  </si>
  <si>
    <t>GB-0007</t>
  </si>
  <si>
    <t>P0180</t>
  </si>
  <si>
    <t>FX-0029</t>
  </si>
  <si>
    <t>P0181</t>
  </si>
  <si>
    <t>CB-0064</t>
  </si>
  <si>
    <t>P0182</t>
  </si>
  <si>
    <t>GB-0009</t>
  </si>
  <si>
    <t>P0183</t>
  </si>
  <si>
    <t>EQ-0007</t>
  </si>
  <si>
    <t>P0184</t>
  </si>
  <si>
    <t>CB-0041</t>
  </si>
  <si>
    <t>P0185</t>
  </si>
  <si>
    <t>EQ-0060</t>
  </si>
  <si>
    <t>P0186</t>
  </si>
  <si>
    <t>GB-0043</t>
  </si>
  <si>
    <t>P0187</t>
  </si>
  <si>
    <t>EQ-0028</t>
  </si>
  <si>
    <t>P0188</t>
  </si>
  <si>
    <t>CB-0016</t>
  </si>
  <si>
    <t>P0189</t>
  </si>
  <si>
    <t>GB-0014</t>
  </si>
  <si>
    <t>P0190</t>
  </si>
  <si>
    <t>CB-0018</t>
  </si>
  <si>
    <t>P0191</t>
  </si>
  <si>
    <t>CB-0070</t>
  </si>
  <si>
    <t>P0192</t>
  </si>
  <si>
    <t>GB-0050</t>
  </si>
  <si>
    <t>P0193</t>
  </si>
  <si>
    <t>GB-0045</t>
  </si>
  <si>
    <t>P0194</t>
  </si>
  <si>
    <t>FX-0009</t>
  </si>
  <si>
    <t>P0195</t>
  </si>
  <si>
    <t>GB-0058</t>
  </si>
  <si>
    <t>P0196</t>
  </si>
  <si>
    <t>CB-0015</t>
  </si>
  <si>
    <t>P0197</t>
  </si>
  <si>
    <t>CORPORATE BOND</t>
  </si>
  <si>
    <t>CB-0037</t>
  </si>
  <si>
    <t>P0198</t>
  </si>
  <si>
    <t>EQ-0032</t>
  </si>
  <si>
    <t>P0199</t>
  </si>
  <si>
    <t>CB-0058</t>
  </si>
  <si>
    <t>P0200</t>
  </si>
  <si>
    <t>EQ-0068</t>
  </si>
  <si>
    <t>P0201</t>
  </si>
  <si>
    <t>EQ-0004</t>
  </si>
  <si>
    <t>P0202</t>
  </si>
  <si>
    <t>FX-0011</t>
  </si>
  <si>
    <t>P0203</t>
  </si>
  <si>
    <t>FX-0032</t>
  </si>
  <si>
    <t>P0204</t>
  </si>
  <si>
    <t>FX-0020</t>
  </si>
  <si>
    <t>P0205</t>
  </si>
  <si>
    <t>CB-0063</t>
  </si>
  <si>
    <t>P0206</t>
  </si>
  <si>
    <t>FX-0007</t>
  </si>
  <si>
    <t>P0207</t>
  </si>
  <si>
    <t>CB-0022</t>
  </si>
  <si>
    <t>P0208</t>
  </si>
  <si>
    <t>GB-0023</t>
  </si>
  <si>
    <t>P0209</t>
  </si>
  <si>
    <t>GB-0036</t>
  </si>
  <si>
    <t>P0210</t>
  </si>
  <si>
    <t>GB-0024</t>
  </si>
  <si>
    <t>P0211</t>
  </si>
  <si>
    <t>EQ-0058</t>
  </si>
  <si>
    <t>P0212</t>
  </si>
  <si>
    <t>GB-0044</t>
  </si>
  <si>
    <t>P0213</t>
  </si>
  <si>
    <t>EQ-0037</t>
  </si>
  <si>
    <t>P0214</t>
  </si>
  <si>
    <t>EQ-0020</t>
  </si>
  <si>
    <t>P0215</t>
  </si>
  <si>
    <t>CB-0040</t>
  </si>
  <si>
    <t>P0216</t>
  </si>
  <si>
    <t>EQ-0030</t>
  </si>
  <si>
    <t>P0217</t>
  </si>
  <si>
    <t>GB-0056</t>
  </si>
  <si>
    <t>P0218</t>
  </si>
  <si>
    <t>CB-0007</t>
  </si>
  <si>
    <t>P0219</t>
  </si>
  <si>
    <t>FX-0028</t>
  </si>
  <si>
    <t>P0220</t>
  </si>
  <si>
    <t>FX-0030</t>
  </si>
  <si>
    <t>P0221</t>
  </si>
  <si>
    <t>GB-0057</t>
  </si>
  <si>
    <t>P0222</t>
  </si>
  <si>
    <t>CB-0044</t>
  </si>
  <si>
    <t>P0223</t>
  </si>
  <si>
    <t>FX-0002</t>
  </si>
  <si>
    <t>P0224</t>
  </si>
  <si>
    <t>EQ-0066</t>
  </si>
  <si>
    <t>P0225</t>
  </si>
  <si>
    <t>EQ-0043</t>
  </si>
  <si>
    <t>P0226</t>
  </si>
  <si>
    <t>FX-0003</t>
  </si>
  <si>
    <t>P0227</t>
  </si>
  <si>
    <t>EQ-0070</t>
  </si>
  <si>
    <t>P0228</t>
  </si>
  <si>
    <t xml:space="preserve"> Corporate Bond</t>
  </si>
  <si>
    <t>CB-0049</t>
  </si>
  <si>
    <t>P0229</t>
  </si>
  <si>
    <t>CB-0056</t>
  </si>
  <si>
    <t>P0230</t>
  </si>
  <si>
    <t>FX-0035</t>
  </si>
  <si>
    <t>P0231</t>
  </si>
  <si>
    <t>FX-0015</t>
  </si>
  <si>
    <t>P0232</t>
  </si>
  <si>
    <t>CB-0059</t>
  </si>
  <si>
    <t>P0233</t>
  </si>
  <si>
    <t>FX-0039</t>
  </si>
  <si>
    <t>P0234</t>
  </si>
  <si>
    <t>FX-0033</t>
  </si>
  <si>
    <t>P0235</t>
  </si>
  <si>
    <t>EQ-0052</t>
  </si>
  <si>
    <t>P0236</t>
  </si>
  <si>
    <t>EQ-0045</t>
  </si>
  <si>
    <t>P0237</t>
  </si>
  <si>
    <t>CB-0027</t>
  </si>
  <si>
    <t>P0238</t>
  </si>
  <si>
    <t>GB-0042</t>
  </si>
  <si>
    <t>P0239</t>
  </si>
  <si>
    <t>CB-0004</t>
  </si>
  <si>
    <t>P0240</t>
  </si>
  <si>
    <t>EQ-0076</t>
  </si>
  <si>
    <t>P0241</t>
  </si>
  <si>
    <t>FX-0023</t>
  </si>
  <si>
    <t>P0242</t>
  </si>
  <si>
    <t>EQ-0024</t>
  </si>
  <si>
    <t>P0243</t>
  </si>
  <si>
    <t>EQ-0034</t>
  </si>
  <si>
    <t>P0244</t>
  </si>
  <si>
    <t>GB-0038</t>
  </si>
  <si>
    <t>P0245</t>
  </si>
  <si>
    <t>CB-0014</t>
  </si>
  <si>
    <t>P0246</t>
  </si>
  <si>
    <t>CB-0069</t>
  </si>
  <si>
    <t>P0247</t>
  </si>
  <si>
    <t>EQ-0009</t>
  </si>
  <si>
    <t>P0248</t>
  </si>
  <si>
    <t>CB-0033</t>
  </si>
  <si>
    <t>P0249</t>
  </si>
  <si>
    <t>GB-0052</t>
  </si>
  <si>
    <t>P0250</t>
  </si>
  <si>
    <t>EQ-0080</t>
  </si>
  <si>
    <t>Asset Class (clean)</t>
  </si>
  <si>
    <t>Book Price</t>
  </si>
  <si>
    <t>Independent Price</t>
  </si>
  <si>
    <t>Variance %</t>
  </si>
  <si>
    <t>Tolerance %</t>
  </si>
  <si>
    <t>MV Diff (local ccy)</t>
  </si>
  <si>
    <t>Status</t>
  </si>
  <si>
    <t>Duplicate?</t>
  </si>
  <si>
    <t>Valuation Date Flag</t>
  </si>
  <si>
    <t>Valuation Control Summary</t>
  </si>
  <si>
    <t>Results by Asset Class</t>
  </si>
  <si>
    <t>Positions Tested</t>
  </si>
  <si>
    <t>OK</t>
  </si>
  <si>
    <t>Breaches</t>
  </si>
  <si>
    <t>No Indep. Price</t>
  </si>
  <si>
    <t>Breach Rate</t>
  </si>
  <si>
    <t>Net MV Diff (all tested)</t>
  </si>
  <si>
    <t>Net MV Diff (breaches)</t>
  </si>
  <si>
    <t>Total</t>
  </si>
  <si>
    <t>Results by Desk</t>
  </si>
  <si>
    <t>Data Quality</t>
  </si>
  <si>
    <t>Check</t>
  </si>
  <si>
    <t>Count</t>
  </si>
  <si>
    <t>Raw rows loaded</t>
  </si>
  <si>
    <t>Duplicate rows removed</t>
  </si>
  <si>
    <t>Unique positions</t>
  </si>
  <si>
    <t>Missing independent price</t>
  </si>
  <si>
    <t>Unmapped asset class</t>
  </si>
  <si>
    <t>Stale valuation date</t>
  </si>
  <si>
    <t>VariancePct</t>
  </si>
  <si>
    <t>TolerancePct</t>
  </si>
  <si>
    <t>MVDiff</t>
  </si>
  <si>
    <t>DateFlag</t>
  </si>
  <si>
    <t>CURRENT</t>
  </si>
  <si>
    <t>BREACH</t>
  </si>
  <si>
    <t>NO INDEPENDENT PRICE</t>
  </si>
  <si>
    <t>UNMAPPED ASSET CLASS</t>
  </si>
  <si>
    <t>STALE</t>
  </si>
  <si>
    <t>AbsMVDiff</t>
  </si>
  <si>
    <t>RunTime</t>
  </si>
  <si>
    <t>ReportDate</t>
  </si>
  <si>
    <t>RawRows</t>
  </si>
  <si>
    <t>UniquePositions</t>
  </si>
  <si>
    <t>DuplicatesRemoved</t>
  </si>
  <si>
    <t>MissingIndepPrice</t>
  </si>
  <si>
    <t>UnmappedClass</t>
  </si>
  <si>
    <t>StaleDate</t>
  </si>
  <si>
    <t>BreachRate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</si>
</sst>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yyyy\-mm\-dd"/>
    <numFmt numFmtId="165" formatCode="#,##0.00000"/>
    <numFmt numFmtId="166" formatCode="0.000%"/>
    <numFmt numFmtId="167" formatCode="#,##0.00;\(#,##0.00\);\-"/>
    <numFmt numFmtId="168" formatCode="0.0%"/>
    <numFmt numFmtId="169" formatCode="#,##0;\(#,##0\);\-"/>
    <numFmt numFmtId="170" formatCode="#,##0.00;\(#,##0.00\)"/>
    <numFmt numFmtId="171" formatCode="yyyy\-mm\-dd\ hh:mm:ss"/>
  </numFmts>
  <fonts count="12" x14ac:knownFonts="1">
    <font>
      <sz val="11"/>
      <color theme="1"/>
      <name val="Calibri"/>
      <family val="2"/>
      <charset val="1"/>
    </font>
    <font>
      <b/>
      <sz val="14"/>
      <color rgb="FF1F3864"/>
      <name val="Arial"/>
      <family val="2"/>
    </font>
    <font>
      <b/>
      <sz val="10"/>
      <color rgb="FFC00000"/>
      <name val="Arial"/>
      <family val="2"/>
    </font>
    <font>
      <sz val="10"/>
      <name val="Arial"/>
      <family val="2"/>
    </font>
    <font>
      <b/>
      <sz val="11"/>
      <color rgb="FF1F3864"/>
      <name val="Arial"/>
      <family val="2"/>
    </font>
    <font>
      <b/>
      <sz val="10"/>
      <color rgb="FFFFFFFF"/>
      <name val="Arial"/>
      <family val="2"/>
    </font>
    <font>
      <b/>
      <sz val="10"/>
      <name val="Arial"/>
      <family val="2"/>
    </font>
    <font>
      <sz val="10"/>
      <color rgb="FF0000FF"/>
      <name val="Arial"/>
      <family val="2"/>
    </font>
    <font>
      <i/>
      <sz val="9"/>
      <name val="Arial"/>
      <family val="2"/>
    </font>
    <font>
      <sz val="10"/>
      <color rgb="FF008000"/>
      <name val="Arial"/>
      <family val="2"/>
    </font>
    <font>
      <b/>
      <sz val="11"/>
      <color theme="1"/>
      <name val="Calibri"/>
      <family val="2"/>
    </font>
    <font>
      <b/>
      <sz val="11"/>
      <color rgb="FFFFFFFF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FFFF00"/>
        <bgColor rgb="FFFFFF00"/>
      </patternFill>
    </fill>
    <fill>
      <patternFill patternType="solid">
        <fgColor rgb="FF1F3864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rgb="FFBFBFBF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  <xf numFmtId="0" fontId="3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5" fillId="2" borderId="0" xfId="0" applyFont="1" applyFill="1" applyAlignment="1">
      <alignment horizontal="center" vertical="center" wrapText="1"/>
    </xf>
    <xf numFmtId="0" fontId="6" fillId="0" borderId="0" xfId="0" applyFont="1"/>
    <xf numFmtId="164" fontId="7" fillId="3" borderId="0" xfId="0" applyNumberFormat="1" applyFont="1" applyFill="1"/>
    <xf numFmtId="0" fontId="7" fillId="0" borderId="0" xfId="0" applyFont="1"/>
    <xf numFmtId="10" fontId="7" fillId="0" borderId="0" xfId="0" applyNumberFormat="1" applyFont="1"/>
    <xf numFmtId="0" fontId="8" fillId="0" borderId="0" xfId="0" applyFont="1"/>
    <xf numFmtId="0" fontId="3" fillId="0" borderId="0" xfId="0" applyFont="1"/>
    <xf numFmtId="164" fontId="3" fillId="0" borderId="0" xfId="0" applyNumberFormat="1" applyFont="1"/>
    <xf numFmtId="3" fontId="3" fillId="0" borderId="0" xfId="0" applyNumberFormat="1" applyFont="1"/>
    <xf numFmtId="165" fontId="3" fillId="0" borderId="0" xfId="0" applyNumberFormat="1" applyFont="1"/>
    <xf numFmtId="0" fontId="9" fillId="0" borderId="0" xfId="0" applyFont="1"/>
    <xf numFmtId="3" fontId="9" fillId="0" borderId="0" xfId="0" applyNumberFormat="1" applyFont="1"/>
    <xf numFmtId="165" fontId="9" fillId="0" borderId="0" xfId="0" applyNumberFormat="1" applyFont="1"/>
    <xf numFmtId="166" fontId="3" fillId="0" borderId="0" xfId="0" applyNumberFormat="1" applyFont="1"/>
    <xf numFmtId="10" fontId="3" fillId="0" borderId="0" xfId="0" applyNumberFormat="1" applyFont="1"/>
    <xf numFmtId="167" fontId="3" fillId="0" borderId="0" xfId="0" applyNumberFormat="1" applyFont="1"/>
    <xf numFmtId="0" fontId="1" fillId="0" borderId="0" xfId="0" applyFont="1"/>
    <xf numFmtId="164" fontId="9" fillId="0" borderId="0" xfId="0" applyNumberFormat="1" applyFont="1"/>
    <xf numFmtId="0" fontId="4" fillId="0" borderId="0" xfId="0" applyFont="1"/>
    <xf numFmtId="168" fontId="3" fillId="0" borderId="0" xfId="0" applyNumberFormat="1" applyFont="1"/>
    <xf numFmtId="169" fontId="3" fillId="0" borderId="0" xfId="0" applyNumberFormat="1" applyFont="1"/>
    <xf numFmtId="0" fontId="6" fillId="0" borderId="1" xfId="0" applyFont="1" applyBorder="1"/>
    <xf numFmtId="3" fontId="6" fillId="0" borderId="1" xfId="0" applyNumberFormat="1" applyFont="1" applyBorder="1"/>
    <xf numFmtId="168" fontId="6" fillId="0" borderId="1" xfId="0" applyNumberFormat="1" applyFont="1" applyBorder="1"/>
    <xf numFmtId="169" fontId="6" fillId="0" borderId="1" xfId="0" applyNumberFormat="1" applyFont="1" applyBorder="1"/>
    <xf numFmtId="0" fontId="10" fillId="0" borderId="0" xfId="0" applyFont="1"/>
    <xf numFmtId="0" fontId="11" fillId="4" borderId="0" xfId="0" applyFont="1" applyFill="1" applyAlignment="1">
      <alignment horizontal="center"/>
    </xf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170" fontId="0" fillId="0" borderId="0" xfId="0" applyNumberFormat="1"/>
    <xf numFmtId="4" fontId="0" fillId="0" borderId="0" xfId="0" applyNumberFormat="1"/>
    <xf numFmtId="171" fontId="0" fillId="0" borderId="0" xfId="0" applyNumberFormat="1"/>
    <xf numFmtId="168" fontId="0" fillId="0" borderId="0" xfId="0" applyNumberFormat="1"/>
  </cellXfs>
  <cellStyles count="1">
    <cellStyle name="Normal" xfId="0" builtinId="0"/>
  </cellStyles>
  <dxfs count="4">
    <dxf>
      <fill>
        <patternFill>
          <bgColor rgb="FFFFE699"/>
        </patternFill>
      </fill>
    </dxf>
    <dxf>
      <fill>
        <patternFill>
          <bgColor rgb="FFD9D9D9"/>
        </patternFill>
      </fill>
    </dxf>
    <dxf>
      <fill>
        <patternFill>
          <bgColor rgb="FFFFE699"/>
        </patternFill>
      </fill>
    </dxf>
    <dxf>
      <fill>
        <patternFill>
          <bgColor rgb="FFF8CBAD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699"/>
      <rgbColor rgb="FF99CCFF"/>
      <rgbColor rgb="FFFF99CC"/>
      <rgbColor rgb="FFCC99FF"/>
      <rgbColor rgb="FFF8CBAD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6"/>
  <sheetViews>
    <sheetView zoomScaleNormal="100" workbookViewId="0">
      <selection activeCell="F12" sqref="F12"/>
    </sheetView>
  </sheetViews>
  <sheetFormatPr defaultColWidth="8.6640625" defaultRowHeight="14.4" x14ac:dyDescent="0.3"/>
  <cols>
    <col min="1" max="1" width="120" customWidth="1"/>
  </cols>
  <sheetData>
    <row r="1" spans="1:1" ht="17.399999999999999" x14ac:dyDescent="0.3">
      <c r="A1" s="1" t="s">
        <v>0</v>
      </c>
    </row>
    <row r="2" spans="1:1" x14ac:dyDescent="0.3">
      <c r="A2" s="2" t="s">
        <v>1</v>
      </c>
    </row>
    <row r="3" spans="1:1" x14ac:dyDescent="0.3">
      <c r="A3" s="3"/>
    </row>
    <row r="4" spans="1:1" x14ac:dyDescent="0.3">
      <c r="A4" s="4" t="s">
        <v>2</v>
      </c>
    </row>
    <row r="5" spans="1:1" x14ac:dyDescent="0.3">
      <c r="A5" s="3" t="s">
        <v>3</v>
      </c>
    </row>
    <row r="6" spans="1:1" x14ac:dyDescent="0.3">
      <c r="A6" s="3"/>
    </row>
    <row r="7" spans="1:1" x14ac:dyDescent="0.3">
      <c r="A7" s="4" t="s">
        <v>4</v>
      </c>
    </row>
    <row r="8" spans="1:1" x14ac:dyDescent="0.3">
      <c r="A8" s="3" t="s">
        <v>5</v>
      </c>
    </row>
    <row r="9" spans="1:1" ht="26.4" x14ac:dyDescent="0.3">
      <c r="A9" s="3" t="s">
        <v>6</v>
      </c>
    </row>
    <row r="10" spans="1:1" x14ac:dyDescent="0.3">
      <c r="A10" s="3" t="s">
        <v>7</v>
      </c>
    </row>
    <row r="11" spans="1:1" x14ac:dyDescent="0.3">
      <c r="A11" s="3" t="s">
        <v>8</v>
      </c>
    </row>
    <row r="12" spans="1:1" ht="26.4" x14ac:dyDescent="0.3">
      <c r="A12" s="3" t="s">
        <v>9</v>
      </c>
    </row>
    <row r="13" spans="1:1" x14ac:dyDescent="0.3">
      <c r="A13" s="3"/>
    </row>
    <row r="14" spans="1:1" x14ac:dyDescent="0.3">
      <c r="A14" s="4" t="s">
        <v>10</v>
      </c>
    </row>
    <row r="15" spans="1:1" x14ac:dyDescent="0.3">
      <c r="A15" s="3" t="s">
        <v>11</v>
      </c>
    </row>
    <row r="16" spans="1:1" x14ac:dyDescent="0.3">
      <c r="A16" s="3" t="s">
        <v>12</v>
      </c>
    </row>
    <row r="17" spans="1:1" x14ac:dyDescent="0.3">
      <c r="A17" s="3" t="s">
        <v>13</v>
      </c>
    </row>
    <row r="18" spans="1:1" x14ac:dyDescent="0.3">
      <c r="A18" s="3" t="s">
        <v>14</v>
      </c>
    </row>
    <row r="19" spans="1:1" x14ac:dyDescent="0.3">
      <c r="A19" s="3" t="s">
        <v>15</v>
      </c>
    </row>
    <row r="20" spans="1:1" x14ac:dyDescent="0.3">
      <c r="A20" s="3"/>
    </row>
    <row r="21" spans="1:1" x14ac:dyDescent="0.3">
      <c r="A21" s="4" t="s">
        <v>16</v>
      </c>
    </row>
    <row r="22" spans="1:1" ht="26.4" x14ac:dyDescent="0.3">
      <c r="A22" s="3" t="s">
        <v>17</v>
      </c>
    </row>
    <row r="23" spans="1:1" x14ac:dyDescent="0.3">
      <c r="A23" s="3" t="s">
        <v>18</v>
      </c>
    </row>
    <row r="24" spans="1:1" x14ac:dyDescent="0.3">
      <c r="A24" s="3"/>
    </row>
    <row r="25" spans="1:1" x14ac:dyDescent="0.3">
      <c r="A25" s="4" t="s">
        <v>19</v>
      </c>
    </row>
    <row r="26" spans="1:1" x14ac:dyDescent="0.3">
      <c r="A26" s="3" t="s">
        <v>20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7"/>
  <sheetViews>
    <sheetView zoomScaleNormal="100" workbookViewId="0"/>
  </sheetViews>
  <sheetFormatPr defaultColWidth="8.6640625" defaultRowHeight="14.4" x14ac:dyDescent="0.3"/>
  <cols>
    <col min="1" max="1" width="20" customWidth="1"/>
    <col min="2" max="2" width="14" customWidth="1"/>
    <col min="4" max="5" width="14" customWidth="1"/>
  </cols>
  <sheetData>
    <row r="1" spans="1:5" x14ac:dyDescent="0.3">
      <c r="A1" s="5" t="s">
        <v>21</v>
      </c>
      <c r="B1" s="5" t="s">
        <v>22</v>
      </c>
      <c r="D1" s="6" t="s">
        <v>23</v>
      </c>
      <c r="E1" s="7">
        <v>46293</v>
      </c>
    </row>
    <row r="2" spans="1:5" x14ac:dyDescent="0.3">
      <c r="A2" s="8" t="s">
        <v>24</v>
      </c>
      <c r="B2" s="9">
        <v>0.01</v>
      </c>
    </row>
    <row r="3" spans="1:5" x14ac:dyDescent="0.3">
      <c r="A3" s="8" t="s">
        <v>25</v>
      </c>
      <c r="B3" s="9">
        <v>5.0000000000000001E-3</v>
      </c>
    </row>
    <row r="4" spans="1:5" x14ac:dyDescent="0.3">
      <c r="A4" s="8" t="s">
        <v>26</v>
      </c>
      <c r="B4" s="9">
        <v>2.5000000000000001E-3</v>
      </c>
    </row>
    <row r="5" spans="1:5" x14ac:dyDescent="0.3">
      <c r="A5" s="8" t="s">
        <v>27</v>
      </c>
      <c r="B5" s="9">
        <v>3.0000000000000001E-3</v>
      </c>
    </row>
    <row r="7" spans="1:5" x14ac:dyDescent="0.3">
      <c r="A7" s="10" t="s">
        <v>28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55"/>
  <sheetViews>
    <sheetView zoomScaleNormal="100" workbookViewId="0">
      <pane ySplit="1" topLeftCell="A2" activePane="bottomLeft" state="frozen"/>
      <selection pane="bottomLeft"/>
    </sheetView>
  </sheetViews>
  <sheetFormatPr defaultColWidth="8.6640625" defaultRowHeight="14.4" x14ac:dyDescent="0.3"/>
  <cols>
    <col min="1" max="1" width="11" customWidth="1"/>
    <col min="2" max="2" width="13" customWidth="1"/>
    <col min="3" max="3" width="20" customWidth="1"/>
    <col min="4" max="4" width="18" customWidth="1"/>
    <col min="5" max="5" width="12" customWidth="1"/>
    <col min="6" max="6" width="9" customWidth="1"/>
    <col min="7" max="8" width="13" customWidth="1"/>
    <col min="9" max="9" width="16" customWidth="1"/>
  </cols>
  <sheetData>
    <row r="1" spans="1:9" ht="26.4" x14ac:dyDescent="0.3">
      <c r="A1" s="5" t="s">
        <v>29</v>
      </c>
      <c r="B1" s="5" t="s">
        <v>30</v>
      </c>
      <c r="C1" s="5" t="s">
        <v>31</v>
      </c>
      <c r="D1" s="5" t="s">
        <v>32</v>
      </c>
      <c r="E1" s="5" t="s">
        <v>33</v>
      </c>
      <c r="F1" s="5" t="s">
        <v>34</v>
      </c>
      <c r="G1" s="5" t="s">
        <v>35</v>
      </c>
      <c r="H1" s="5" t="s">
        <v>36</v>
      </c>
      <c r="I1" s="5" t="s">
        <v>37</v>
      </c>
    </row>
    <row r="2" spans="1:9" x14ac:dyDescent="0.3">
      <c r="A2" s="11" t="s">
        <v>38</v>
      </c>
      <c r="B2" s="12">
        <v>46293</v>
      </c>
      <c r="C2" s="11" t="s">
        <v>39</v>
      </c>
      <c r="D2" s="11" t="s">
        <v>24</v>
      </c>
      <c r="E2" s="11" t="s">
        <v>40</v>
      </c>
      <c r="F2" s="11" t="s">
        <v>41</v>
      </c>
      <c r="G2" s="13">
        <v>36166</v>
      </c>
      <c r="H2" s="14">
        <v>149.54</v>
      </c>
      <c r="I2" s="14">
        <v>149.33000000000001</v>
      </c>
    </row>
    <row r="3" spans="1:9" x14ac:dyDescent="0.3">
      <c r="A3" s="11" t="s">
        <v>42</v>
      </c>
      <c r="B3" s="12">
        <v>46293</v>
      </c>
      <c r="C3" s="11" t="s">
        <v>43</v>
      </c>
      <c r="D3" s="11" t="s">
        <v>27</v>
      </c>
      <c r="E3" s="11" t="s">
        <v>44</v>
      </c>
      <c r="F3" s="11" t="s">
        <v>41</v>
      </c>
      <c r="G3" s="13">
        <v>4061266</v>
      </c>
      <c r="H3" s="14">
        <v>1.43472</v>
      </c>
      <c r="I3" s="14">
        <v>1.43723</v>
      </c>
    </row>
    <row r="4" spans="1:9" x14ac:dyDescent="0.3">
      <c r="A4" s="11" t="s">
        <v>45</v>
      </c>
      <c r="B4" s="12">
        <v>46293</v>
      </c>
      <c r="C4" s="11" t="s">
        <v>46</v>
      </c>
      <c r="D4" s="11" t="s">
        <v>25</v>
      </c>
      <c r="E4" s="11" t="s">
        <v>47</v>
      </c>
      <c r="F4" s="11" t="s">
        <v>48</v>
      </c>
      <c r="G4" s="13">
        <v>15502</v>
      </c>
      <c r="H4" s="14">
        <v>107.20099999999999</v>
      </c>
      <c r="I4" s="14">
        <v>107.128</v>
      </c>
    </row>
    <row r="5" spans="1:9" x14ac:dyDescent="0.3">
      <c r="A5" s="11" t="s">
        <v>49</v>
      </c>
      <c r="B5" s="12">
        <v>46293</v>
      </c>
      <c r="C5" s="11" t="s">
        <v>50</v>
      </c>
      <c r="D5" s="11" t="s">
        <v>25</v>
      </c>
      <c r="E5" s="11" t="s">
        <v>51</v>
      </c>
      <c r="F5" s="11" t="s">
        <v>52</v>
      </c>
      <c r="G5" s="13">
        <v>1316</v>
      </c>
      <c r="H5" s="14">
        <v>103.86</v>
      </c>
      <c r="I5" s="14">
        <v>104.121</v>
      </c>
    </row>
    <row r="6" spans="1:9" x14ac:dyDescent="0.3">
      <c r="A6" s="11" t="s">
        <v>53</v>
      </c>
      <c r="B6" s="12">
        <v>46293</v>
      </c>
      <c r="C6" s="11" t="s">
        <v>54</v>
      </c>
      <c r="D6" s="11" t="s">
        <v>27</v>
      </c>
      <c r="E6" s="11" t="s">
        <v>55</v>
      </c>
      <c r="F6" s="11" t="s">
        <v>56</v>
      </c>
      <c r="G6" s="13">
        <v>4847348</v>
      </c>
      <c r="H6" s="14">
        <v>1.13117</v>
      </c>
      <c r="I6" s="14">
        <v>1.1295900000000001</v>
      </c>
    </row>
    <row r="7" spans="1:9" x14ac:dyDescent="0.3">
      <c r="A7" s="11" t="s">
        <v>57</v>
      </c>
      <c r="B7" s="12">
        <v>46293</v>
      </c>
      <c r="C7" s="11" t="s">
        <v>43</v>
      </c>
      <c r="D7" s="11" t="s">
        <v>27</v>
      </c>
      <c r="E7" s="11" t="s">
        <v>58</v>
      </c>
      <c r="F7" s="11" t="s">
        <v>41</v>
      </c>
      <c r="G7" s="13">
        <v>1694942</v>
      </c>
      <c r="H7" s="14">
        <v>0.81899999999999995</v>
      </c>
      <c r="I7" s="14">
        <v>0.82021999999999995</v>
      </c>
    </row>
    <row r="8" spans="1:9" x14ac:dyDescent="0.3">
      <c r="A8" s="11" t="s">
        <v>59</v>
      </c>
      <c r="B8" s="12">
        <v>46293</v>
      </c>
      <c r="C8" s="11" t="s">
        <v>60</v>
      </c>
      <c r="D8" s="11" t="s">
        <v>24</v>
      </c>
      <c r="E8" s="11" t="s">
        <v>61</v>
      </c>
      <c r="F8" s="11" t="s">
        <v>56</v>
      </c>
      <c r="G8" s="13">
        <v>47824</v>
      </c>
      <c r="H8" s="14">
        <v>36.97</v>
      </c>
      <c r="I8" s="14">
        <v>37.020000000000003</v>
      </c>
    </row>
    <row r="9" spans="1:9" x14ac:dyDescent="0.3">
      <c r="A9" s="11" t="s">
        <v>62</v>
      </c>
      <c r="B9" s="12">
        <v>46293</v>
      </c>
      <c r="C9" s="11" t="s">
        <v>46</v>
      </c>
      <c r="D9" s="11" t="s">
        <v>25</v>
      </c>
      <c r="E9" s="11" t="s">
        <v>63</v>
      </c>
      <c r="F9" s="11" t="s">
        <v>48</v>
      </c>
      <c r="G9" s="13">
        <v>1904</v>
      </c>
      <c r="H9" s="14">
        <v>102.872</v>
      </c>
      <c r="I9" s="14">
        <v>102.744</v>
      </c>
    </row>
    <row r="10" spans="1:9" x14ac:dyDescent="0.3">
      <c r="A10" s="11" t="s">
        <v>64</v>
      </c>
      <c r="B10" s="12">
        <v>46293</v>
      </c>
      <c r="C10" s="11" t="s">
        <v>50</v>
      </c>
      <c r="D10" s="11" t="s">
        <v>25</v>
      </c>
      <c r="E10" s="11" t="s">
        <v>65</v>
      </c>
      <c r="F10" s="11" t="s">
        <v>52</v>
      </c>
      <c r="G10" s="13">
        <v>4748</v>
      </c>
      <c r="H10" s="14">
        <v>101.941</v>
      </c>
      <c r="I10" s="14">
        <v>101.92</v>
      </c>
    </row>
    <row r="11" spans="1:9" x14ac:dyDescent="0.3">
      <c r="A11" s="11" t="s">
        <v>66</v>
      </c>
      <c r="B11" s="12">
        <v>46293</v>
      </c>
      <c r="C11" s="11" t="s">
        <v>60</v>
      </c>
      <c r="D11" s="11" t="s">
        <v>24</v>
      </c>
      <c r="E11" s="11" t="s">
        <v>67</v>
      </c>
      <c r="F11" s="11" t="s">
        <v>56</v>
      </c>
      <c r="G11" s="13">
        <v>23319</v>
      </c>
      <c r="H11" s="14">
        <v>204.52</v>
      </c>
      <c r="I11" s="14">
        <v>204.34</v>
      </c>
    </row>
    <row r="12" spans="1:9" x14ac:dyDescent="0.3">
      <c r="A12" s="11" t="s">
        <v>68</v>
      </c>
      <c r="B12" s="12">
        <v>46293</v>
      </c>
      <c r="C12" s="11" t="s">
        <v>43</v>
      </c>
      <c r="D12" s="11" t="s">
        <v>27</v>
      </c>
      <c r="E12" s="11" t="s">
        <v>69</v>
      </c>
      <c r="F12" s="11" t="s">
        <v>41</v>
      </c>
      <c r="G12" s="13">
        <v>1309263</v>
      </c>
      <c r="H12" s="14">
        <v>0.61534999999999995</v>
      </c>
      <c r="I12" s="14">
        <v>0.61606000000000005</v>
      </c>
    </row>
    <row r="13" spans="1:9" x14ac:dyDescent="0.3">
      <c r="A13" s="11" t="s">
        <v>70</v>
      </c>
      <c r="B13" s="12">
        <v>46293</v>
      </c>
      <c r="C13" s="11" t="s">
        <v>46</v>
      </c>
      <c r="D13" s="11" t="s">
        <v>25</v>
      </c>
      <c r="E13" s="11" t="s">
        <v>71</v>
      </c>
      <c r="F13" s="11" t="s">
        <v>48</v>
      </c>
      <c r="G13" s="13">
        <v>15488</v>
      </c>
      <c r="H13" s="14">
        <v>99.44</v>
      </c>
      <c r="I13" s="14">
        <v>99.438999999999993</v>
      </c>
    </row>
    <row r="14" spans="1:9" x14ac:dyDescent="0.3">
      <c r="A14" s="11" t="s">
        <v>72</v>
      </c>
      <c r="B14" s="12">
        <v>46293</v>
      </c>
      <c r="C14" s="11" t="s">
        <v>50</v>
      </c>
      <c r="D14" s="11" t="s">
        <v>25</v>
      </c>
      <c r="E14" s="11" t="s">
        <v>73</v>
      </c>
      <c r="F14" s="11" t="s">
        <v>52</v>
      </c>
      <c r="G14" s="13">
        <v>11885</v>
      </c>
      <c r="H14" s="14">
        <v>94.87</v>
      </c>
      <c r="I14" s="14">
        <v>94.935000000000002</v>
      </c>
    </row>
    <row r="15" spans="1:9" x14ac:dyDescent="0.3">
      <c r="A15" s="11" t="s">
        <v>74</v>
      </c>
      <c r="B15" s="12">
        <v>46293</v>
      </c>
      <c r="C15" s="11" t="s">
        <v>39</v>
      </c>
      <c r="D15" s="11" t="s">
        <v>24</v>
      </c>
      <c r="E15" s="11" t="s">
        <v>75</v>
      </c>
      <c r="F15" s="11" t="s">
        <v>41</v>
      </c>
      <c r="G15" s="13">
        <v>9250</v>
      </c>
      <c r="H15" s="14">
        <v>60</v>
      </c>
      <c r="I15" s="14">
        <v>61.38</v>
      </c>
    </row>
    <row r="16" spans="1:9" x14ac:dyDescent="0.3">
      <c r="A16" s="11" t="s">
        <v>59</v>
      </c>
      <c r="B16" s="12">
        <v>46293</v>
      </c>
      <c r="C16" s="11" t="s">
        <v>60</v>
      </c>
      <c r="D16" s="11" t="s">
        <v>24</v>
      </c>
      <c r="E16" s="11" t="s">
        <v>61</v>
      </c>
      <c r="F16" s="11" t="s">
        <v>56</v>
      </c>
      <c r="G16" s="13">
        <v>47824</v>
      </c>
      <c r="H16" s="14">
        <v>36.97</v>
      </c>
      <c r="I16" s="14">
        <v>37.020000000000003</v>
      </c>
    </row>
    <row r="17" spans="1:9" x14ac:dyDescent="0.3">
      <c r="A17" s="11" t="s">
        <v>76</v>
      </c>
      <c r="B17" s="12">
        <v>46293</v>
      </c>
      <c r="C17" s="11" t="s">
        <v>77</v>
      </c>
      <c r="D17" s="11" t="s">
        <v>26</v>
      </c>
      <c r="E17" s="11" t="s">
        <v>78</v>
      </c>
      <c r="F17" s="11" t="s">
        <v>48</v>
      </c>
      <c r="G17" s="13">
        <v>14122</v>
      </c>
      <c r="H17" s="14">
        <v>98.305999999999997</v>
      </c>
      <c r="I17" s="14">
        <v>98.27</v>
      </c>
    </row>
    <row r="18" spans="1:9" x14ac:dyDescent="0.3">
      <c r="A18" s="11" t="s">
        <v>79</v>
      </c>
      <c r="B18" s="12">
        <v>46293</v>
      </c>
      <c r="C18" s="11" t="s">
        <v>50</v>
      </c>
      <c r="D18" s="11" t="s">
        <v>25</v>
      </c>
      <c r="E18" s="11" t="s">
        <v>80</v>
      </c>
      <c r="F18" s="11" t="s">
        <v>52</v>
      </c>
      <c r="G18" s="13">
        <v>14510</v>
      </c>
      <c r="H18" s="14">
        <v>105.834</v>
      </c>
      <c r="I18" s="14">
        <v>105.35899999999999</v>
      </c>
    </row>
    <row r="19" spans="1:9" x14ac:dyDescent="0.3">
      <c r="A19" s="11" t="s">
        <v>81</v>
      </c>
      <c r="B19" s="12">
        <v>46293</v>
      </c>
      <c r="C19" s="11" t="s">
        <v>50</v>
      </c>
      <c r="D19" s="11" t="s">
        <v>25</v>
      </c>
      <c r="E19" s="11" t="s">
        <v>82</v>
      </c>
      <c r="F19" s="11" t="s">
        <v>52</v>
      </c>
      <c r="G19" s="13">
        <v>3750</v>
      </c>
      <c r="H19" s="14">
        <v>106.511</v>
      </c>
      <c r="I19" s="14">
        <v>106.84099999999999</v>
      </c>
    </row>
    <row r="20" spans="1:9" x14ac:dyDescent="0.3">
      <c r="A20" s="11" t="s">
        <v>83</v>
      </c>
      <c r="B20" s="12">
        <v>46293</v>
      </c>
      <c r="C20" s="11" t="s">
        <v>60</v>
      </c>
      <c r="D20" s="11" t="s">
        <v>24</v>
      </c>
      <c r="E20" s="11" t="s">
        <v>84</v>
      </c>
      <c r="F20" s="11" t="s">
        <v>56</v>
      </c>
      <c r="G20" s="13">
        <v>4590</v>
      </c>
      <c r="H20" s="14">
        <v>258.38</v>
      </c>
      <c r="I20" s="14">
        <v>258.99</v>
      </c>
    </row>
    <row r="21" spans="1:9" x14ac:dyDescent="0.3">
      <c r="A21" s="11" t="s">
        <v>85</v>
      </c>
      <c r="B21" s="12">
        <v>46293</v>
      </c>
      <c r="C21" s="11" t="s">
        <v>77</v>
      </c>
      <c r="D21" s="11" t="s">
        <v>26</v>
      </c>
      <c r="E21" s="11" t="s">
        <v>86</v>
      </c>
      <c r="F21" s="11" t="s">
        <v>48</v>
      </c>
      <c r="G21" s="13">
        <v>13092</v>
      </c>
      <c r="H21" s="14">
        <v>101.312</v>
      </c>
      <c r="I21" s="14">
        <v>101.27200000000001</v>
      </c>
    </row>
    <row r="22" spans="1:9" x14ac:dyDescent="0.3">
      <c r="A22" s="11" t="s">
        <v>87</v>
      </c>
      <c r="B22" s="12">
        <v>46293</v>
      </c>
      <c r="C22" s="11" t="s">
        <v>39</v>
      </c>
      <c r="D22" s="11" t="s">
        <v>24</v>
      </c>
      <c r="E22" s="11" t="s">
        <v>88</v>
      </c>
      <c r="F22" s="11" t="s">
        <v>41</v>
      </c>
      <c r="G22" s="13">
        <v>35246</v>
      </c>
      <c r="H22" s="14">
        <v>244.17</v>
      </c>
      <c r="I22" s="14">
        <v>243.56</v>
      </c>
    </row>
    <row r="23" spans="1:9" x14ac:dyDescent="0.3">
      <c r="A23" s="11" t="s">
        <v>89</v>
      </c>
      <c r="B23" s="12">
        <v>46293</v>
      </c>
      <c r="C23" s="11" t="s">
        <v>46</v>
      </c>
      <c r="D23" s="11" t="s">
        <v>25</v>
      </c>
      <c r="E23" s="11" t="s">
        <v>90</v>
      </c>
      <c r="F23" s="11" t="s">
        <v>48</v>
      </c>
      <c r="G23" s="13">
        <v>6064</v>
      </c>
      <c r="H23" s="14">
        <v>107.581</v>
      </c>
      <c r="I23" s="14">
        <v>107.456</v>
      </c>
    </row>
    <row r="24" spans="1:9" x14ac:dyDescent="0.3">
      <c r="A24" s="11" t="s">
        <v>91</v>
      </c>
      <c r="B24" s="12">
        <v>46293</v>
      </c>
      <c r="C24" s="11" t="s">
        <v>46</v>
      </c>
      <c r="D24" s="11" t="s">
        <v>25</v>
      </c>
      <c r="E24" s="11" t="s">
        <v>92</v>
      </c>
      <c r="F24" s="11" t="s">
        <v>48</v>
      </c>
      <c r="G24" s="13">
        <v>13423</v>
      </c>
      <c r="H24" s="14">
        <v>104.18</v>
      </c>
      <c r="I24" s="14">
        <v>104.056</v>
      </c>
    </row>
    <row r="25" spans="1:9" x14ac:dyDescent="0.3">
      <c r="A25" s="11" t="s">
        <v>93</v>
      </c>
      <c r="B25" s="12">
        <v>46293</v>
      </c>
      <c r="C25" s="11" t="s">
        <v>50</v>
      </c>
      <c r="D25" s="11" t="s">
        <v>25</v>
      </c>
      <c r="E25" s="11" t="s">
        <v>94</v>
      </c>
      <c r="F25" s="11" t="s">
        <v>52</v>
      </c>
      <c r="G25" s="13">
        <v>9943</v>
      </c>
      <c r="H25" s="14">
        <v>99.811999999999998</v>
      </c>
      <c r="I25" s="14">
        <v>100.306</v>
      </c>
    </row>
    <row r="26" spans="1:9" x14ac:dyDescent="0.3">
      <c r="A26" s="11" t="s">
        <v>95</v>
      </c>
      <c r="B26" s="12">
        <v>46293</v>
      </c>
      <c r="C26" s="11" t="s">
        <v>96</v>
      </c>
      <c r="D26" s="11" t="s">
        <v>26</v>
      </c>
      <c r="E26" s="11" t="s">
        <v>97</v>
      </c>
      <c r="F26" s="11" t="s">
        <v>52</v>
      </c>
      <c r="G26" s="13">
        <v>8841</v>
      </c>
      <c r="H26" s="14">
        <v>96.230999999999995</v>
      </c>
      <c r="I26" s="14">
        <v>96.275999999999996</v>
      </c>
    </row>
    <row r="27" spans="1:9" x14ac:dyDescent="0.3">
      <c r="A27" s="11" t="s">
        <v>98</v>
      </c>
      <c r="B27" s="12">
        <v>46293</v>
      </c>
      <c r="C27" s="11" t="s">
        <v>46</v>
      </c>
      <c r="D27" s="11" t="s">
        <v>25</v>
      </c>
      <c r="E27" s="11" t="s">
        <v>99</v>
      </c>
      <c r="F27" s="11" t="s">
        <v>48</v>
      </c>
      <c r="G27" s="13">
        <v>19864</v>
      </c>
      <c r="H27" s="14">
        <v>106.477</v>
      </c>
      <c r="I27" s="14">
        <v>106.833</v>
      </c>
    </row>
    <row r="28" spans="1:9" x14ac:dyDescent="0.3">
      <c r="A28" s="11" t="s">
        <v>100</v>
      </c>
      <c r="B28" s="12">
        <v>46293</v>
      </c>
      <c r="C28" s="11" t="s">
        <v>77</v>
      </c>
      <c r="D28" s="11" t="s">
        <v>26</v>
      </c>
      <c r="E28" s="11" t="s">
        <v>101</v>
      </c>
      <c r="F28" s="11" t="s">
        <v>48</v>
      </c>
      <c r="G28" s="13">
        <v>16976</v>
      </c>
      <c r="H28" s="14">
        <v>98.691000000000003</v>
      </c>
      <c r="I28" s="14">
        <v>98.778999999999996</v>
      </c>
    </row>
    <row r="29" spans="1:9" x14ac:dyDescent="0.3">
      <c r="A29" s="11" t="s">
        <v>102</v>
      </c>
      <c r="B29" s="12">
        <v>46293</v>
      </c>
      <c r="C29" s="11" t="s">
        <v>50</v>
      </c>
      <c r="D29" s="11" t="s">
        <v>25</v>
      </c>
      <c r="E29" s="11" t="s">
        <v>103</v>
      </c>
      <c r="F29" s="11" t="s">
        <v>52</v>
      </c>
      <c r="G29" s="13">
        <v>6007</v>
      </c>
      <c r="H29" s="14">
        <v>95.7</v>
      </c>
      <c r="I29" s="14"/>
    </row>
    <row r="30" spans="1:9" x14ac:dyDescent="0.3">
      <c r="A30" s="11" t="s">
        <v>104</v>
      </c>
      <c r="B30" s="12">
        <v>46293</v>
      </c>
      <c r="C30" s="11" t="s">
        <v>77</v>
      </c>
      <c r="D30" s="11" t="s">
        <v>105</v>
      </c>
      <c r="E30" s="11" t="s">
        <v>106</v>
      </c>
      <c r="F30" s="11" t="s">
        <v>48</v>
      </c>
      <c r="G30" s="13">
        <v>15051</v>
      </c>
      <c r="H30" s="14">
        <v>103.268</v>
      </c>
      <c r="I30" s="14">
        <v>103.30800000000001</v>
      </c>
    </row>
    <row r="31" spans="1:9" x14ac:dyDescent="0.3">
      <c r="A31" s="11" t="s">
        <v>107</v>
      </c>
      <c r="B31" s="12">
        <v>46293</v>
      </c>
      <c r="C31" s="11" t="s">
        <v>46</v>
      </c>
      <c r="D31" s="11" t="s">
        <v>25</v>
      </c>
      <c r="E31" s="11" t="s">
        <v>108</v>
      </c>
      <c r="F31" s="11" t="s">
        <v>48</v>
      </c>
      <c r="G31" s="13">
        <v>19863</v>
      </c>
      <c r="H31" s="14">
        <v>106.178</v>
      </c>
      <c r="I31" s="14">
        <v>106.471</v>
      </c>
    </row>
    <row r="32" spans="1:9" x14ac:dyDescent="0.3">
      <c r="A32" s="11" t="s">
        <v>109</v>
      </c>
      <c r="B32" s="12">
        <v>46293</v>
      </c>
      <c r="C32" s="11" t="s">
        <v>39</v>
      </c>
      <c r="D32" s="11" t="s">
        <v>110</v>
      </c>
      <c r="E32" s="11" t="s">
        <v>111</v>
      </c>
      <c r="F32" s="11" t="s">
        <v>41</v>
      </c>
      <c r="G32" s="13">
        <v>15035</v>
      </c>
      <c r="H32" s="14">
        <v>181.66</v>
      </c>
      <c r="I32" s="14">
        <v>181.74</v>
      </c>
    </row>
    <row r="33" spans="1:9" x14ac:dyDescent="0.3">
      <c r="A33" s="11" t="s">
        <v>112</v>
      </c>
      <c r="B33" s="12">
        <v>46293</v>
      </c>
      <c r="C33" s="11" t="s">
        <v>96</v>
      </c>
      <c r="D33" s="11" t="s">
        <v>26</v>
      </c>
      <c r="E33" s="11" t="s">
        <v>113</v>
      </c>
      <c r="F33" s="11" t="s">
        <v>52</v>
      </c>
      <c r="G33" s="13">
        <v>19672</v>
      </c>
      <c r="H33" s="14">
        <v>102.004</v>
      </c>
      <c r="I33" s="14">
        <v>102.042</v>
      </c>
    </row>
    <row r="34" spans="1:9" x14ac:dyDescent="0.3">
      <c r="A34" s="11" t="s">
        <v>114</v>
      </c>
      <c r="B34" s="12">
        <v>46293</v>
      </c>
      <c r="C34" s="11" t="s">
        <v>50</v>
      </c>
      <c r="D34" s="11" t="s">
        <v>25</v>
      </c>
      <c r="E34" s="11" t="s">
        <v>115</v>
      </c>
      <c r="F34" s="11" t="s">
        <v>52</v>
      </c>
      <c r="G34" s="13">
        <v>9583</v>
      </c>
      <c r="H34" s="14">
        <v>102.194</v>
      </c>
      <c r="I34" s="14">
        <v>102.261</v>
      </c>
    </row>
    <row r="35" spans="1:9" x14ac:dyDescent="0.3">
      <c r="A35" s="11" t="s">
        <v>116</v>
      </c>
      <c r="B35" s="12">
        <v>46293</v>
      </c>
      <c r="C35" s="11" t="s">
        <v>39</v>
      </c>
      <c r="D35" s="11" t="s">
        <v>24</v>
      </c>
      <c r="E35" s="11" t="s">
        <v>117</v>
      </c>
      <c r="F35" s="11" t="s">
        <v>41</v>
      </c>
      <c r="G35" s="13">
        <v>46207</v>
      </c>
      <c r="H35" s="14">
        <v>253.45</v>
      </c>
      <c r="I35" s="14">
        <v>254.29</v>
      </c>
    </row>
    <row r="36" spans="1:9" x14ac:dyDescent="0.3">
      <c r="A36" s="11" t="s">
        <v>118</v>
      </c>
      <c r="B36" s="12">
        <v>46293</v>
      </c>
      <c r="C36" s="11" t="s">
        <v>77</v>
      </c>
      <c r="D36" s="11" t="s">
        <v>26</v>
      </c>
      <c r="E36" s="11" t="s">
        <v>119</v>
      </c>
      <c r="F36" s="11" t="s">
        <v>48</v>
      </c>
      <c r="G36" s="13">
        <v>17085</v>
      </c>
      <c r="H36" s="14">
        <v>101.57899999999999</v>
      </c>
      <c r="I36" s="14">
        <v>101.43600000000001</v>
      </c>
    </row>
    <row r="37" spans="1:9" x14ac:dyDescent="0.3">
      <c r="A37" s="11" t="s">
        <v>120</v>
      </c>
      <c r="B37" s="12">
        <v>46293</v>
      </c>
      <c r="C37" s="11" t="s">
        <v>39</v>
      </c>
      <c r="D37" s="11" t="s">
        <v>24</v>
      </c>
      <c r="E37" s="11" t="s">
        <v>121</v>
      </c>
      <c r="F37" s="11" t="s">
        <v>41</v>
      </c>
      <c r="G37" s="13">
        <v>612</v>
      </c>
      <c r="H37" s="14">
        <v>191.27</v>
      </c>
      <c r="I37" s="14">
        <v>189.89</v>
      </c>
    </row>
    <row r="38" spans="1:9" x14ac:dyDescent="0.3">
      <c r="A38" s="11" t="s">
        <v>122</v>
      </c>
      <c r="B38" s="12">
        <v>46293</v>
      </c>
      <c r="C38" s="11" t="s">
        <v>46</v>
      </c>
      <c r="D38" s="11" t="s">
        <v>25</v>
      </c>
      <c r="E38" s="11" t="s">
        <v>123</v>
      </c>
      <c r="F38" s="11" t="s">
        <v>48</v>
      </c>
      <c r="G38" s="13">
        <v>11688</v>
      </c>
      <c r="H38" s="14">
        <v>102.67</v>
      </c>
      <c r="I38" s="14">
        <v>102.283</v>
      </c>
    </row>
    <row r="39" spans="1:9" x14ac:dyDescent="0.3">
      <c r="A39" s="11" t="s">
        <v>124</v>
      </c>
      <c r="B39" s="12">
        <v>46293</v>
      </c>
      <c r="C39" s="11" t="s">
        <v>54</v>
      </c>
      <c r="D39" s="11" t="s">
        <v>27</v>
      </c>
      <c r="E39" s="11" t="s">
        <v>125</v>
      </c>
      <c r="F39" s="11" t="s">
        <v>56</v>
      </c>
      <c r="G39" s="13">
        <v>430700</v>
      </c>
      <c r="H39" s="14">
        <v>1.5034000000000001</v>
      </c>
      <c r="I39" s="14">
        <v>1.5066600000000001</v>
      </c>
    </row>
    <row r="40" spans="1:9" x14ac:dyDescent="0.3">
      <c r="A40" s="11" t="s">
        <v>126</v>
      </c>
      <c r="B40" s="12">
        <v>46293</v>
      </c>
      <c r="C40" s="11" t="s">
        <v>39</v>
      </c>
      <c r="D40" s="11" t="s">
        <v>24</v>
      </c>
      <c r="E40" s="11" t="s">
        <v>127</v>
      </c>
      <c r="F40" s="11" t="s">
        <v>41</v>
      </c>
      <c r="G40" s="13">
        <v>33381</v>
      </c>
      <c r="H40" s="14">
        <v>160.80000000000001</v>
      </c>
      <c r="I40" s="14">
        <v>160.52000000000001</v>
      </c>
    </row>
    <row r="41" spans="1:9" x14ac:dyDescent="0.3">
      <c r="A41" s="11" t="s">
        <v>128</v>
      </c>
      <c r="B41" s="12">
        <v>46293</v>
      </c>
      <c r="C41" s="11" t="s">
        <v>46</v>
      </c>
      <c r="D41" s="11" t="s">
        <v>25</v>
      </c>
      <c r="E41" s="11" t="s">
        <v>129</v>
      </c>
      <c r="F41" s="11" t="s">
        <v>48</v>
      </c>
      <c r="G41" s="13">
        <v>15086</v>
      </c>
      <c r="H41" s="14">
        <v>100.767</v>
      </c>
      <c r="I41" s="14">
        <v>100.56</v>
      </c>
    </row>
    <row r="42" spans="1:9" x14ac:dyDescent="0.3">
      <c r="A42" s="11" t="s">
        <v>130</v>
      </c>
      <c r="B42" s="12">
        <v>46290</v>
      </c>
      <c r="C42" s="11" t="s">
        <v>50</v>
      </c>
      <c r="D42" s="11" t="s">
        <v>25</v>
      </c>
      <c r="E42" s="11" t="s">
        <v>131</v>
      </c>
      <c r="F42" s="11" t="s">
        <v>52</v>
      </c>
      <c r="G42" s="13">
        <v>6560</v>
      </c>
      <c r="H42" s="14">
        <v>100.179</v>
      </c>
      <c r="I42" s="14">
        <v>100.00700000000001</v>
      </c>
    </row>
    <row r="43" spans="1:9" x14ac:dyDescent="0.3">
      <c r="A43" s="11" t="s">
        <v>132</v>
      </c>
      <c r="B43" s="12">
        <v>46293</v>
      </c>
      <c r="C43" s="11" t="s">
        <v>50</v>
      </c>
      <c r="D43" s="11" t="s">
        <v>25</v>
      </c>
      <c r="E43" s="11" t="s">
        <v>133</v>
      </c>
      <c r="F43" s="11" t="s">
        <v>52</v>
      </c>
      <c r="G43" s="13">
        <v>7456</v>
      </c>
      <c r="H43" s="14">
        <v>100.319</v>
      </c>
      <c r="I43" s="14">
        <v>100.18600000000001</v>
      </c>
    </row>
    <row r="44" spans="1:9" x14ac:dyDescent="0.3">
      <c r="A44" s="11" t="s">
        <v>134</v>
      </c>
      <c r="B44" s="12">
        <v>46293</v>
      </c>
      <c r="C44" s="11" t="s">
        <v>43</v>
      </c>
      <c r="D44" s="11" t="s">
        <v>27</v>
      </c>
      <c r="E44" s="11" t="s">
        <v>135</v>
      </c>
      <c r="F44" s="11" t="s">
        <v>41</v>
      </c>
      <c r="G44" s="13">
        <v>4964749</v>
      </c>
      <c r="H44" s="14">
        <v>1.32605</v>
      </c>
      <c r="I44" s="14">
        <v>1.32758</v>
      </c>
    </row>
    <row r="45" spans="1:9" x14ac:dyDescent="0.3">
      <c r="A45" s="11" t="s">
        <v>136</v>
      </c>
      <c r="B45" s="12">
        <v>46293</v>
      </c>
      <c r="C45" s="11" t="s">
        <v>77</v>
      </c>
      <c r="D45" s="11" t="s">
        <v>26</v>
      </c>
      <c r="E45" s="11" t="s">
        <v>137</v>
      </c>
      <c r="F45" s="11" t="s">
        <v>48</v>
      </c>
      <c r="G45" s="13">
        <v>16654</v>
      </c>
      <c r="H45" s="14">
        <v>103.529</v>
      </c>
      <c r="I45" s="14">
        <v>103.505</v>
      </c>
    </row>
    <row r="46" spans="1:9" x14ac:dyDescent="0.3">
      <c r="A46" s="11" t="s">
        <v>138</v>
      </c>
      <c r="B46" s="12">
        <v>46293</v>
      </c>
      <c r="C46" s="11" t="s">
        <v>77</v>
      </c>
      <c r="D46" s="11" t="s">
        <v>26</v>
      </c>
      <c r="E46" s="11" t="s">
        <v>139</v>
      </c>
      <c r="F46" s="11" t="s">
        <v>48</v>
      </c>
      <c r="G46" s="13">
        <v>18502</v>
      </c>
      <c r="H46" s="14">
        <v>97.82</v>
      </c>
      <c r="I46" s="14">
        <v>97.813000000000002</v>
      </c>
    </row>
    <row r="47" spans="1:9" x14ac:dyDescent="0.3">
      <c r="A47" s="11" t="s">
        <v>140</v>
      </c>
      <c r="B47" s="12">
        <v>46293</v>
      </c>
      <c r="C47" s="11" t="s">
        <v>50</v>
      </c>
      <c r="D47" s="11" t="s">
        <v>25</v>
      </c>
      <c r="E47" s="11" t="s">
        <v>141</v>
      </c>
      <c r="F47" s="11" t="s">
        <v>52</v>
      </c>
      <c r="G47" s="13">
        <v>14767</v>
      </c>
      <c r="H47" s="14">
        <v>95.308999999999997</v>
      </c>
      <c r="I47" s="14">
        <v>95.146000000000001</v>
      </c>
    </row>
    <row r="48" spans="1:9" x14ac:dyDescent="0.3">
      <c r="A48" s="11" t="s">
        <v>142</v>
      </c>
      <c r="B48" s="12">
        <v>46293</v>
      </c>
      <c r="C48" s="11" t="s">
        <v>46</v>
      </c>
      <c r="D48" s="11" t="s">
        <v>25</v>
      </c>
      <c r="E48" s="11" t="s">
        <v>143</v>
      </c>
      <c r="F48" s="11" t="s">
        <v>48</v>
      </c>
      <c r="G48" s="13">
        <v>11819</v>
      </c>
      <c r="H48" s="14">
        <v>98.900999999999996</v>
      </c>
      <c r="I48" s="14">
        <v>99.256</v>
      </c>
    </row>
    <row r="49" spans="1:9" x14ac:dyDescent="0.3">
      <c r="A49" s="11" t="s">
        <v>144</v>
      </c>
      <c r="B49" s="12">
        <v>46293</v>
      </c>
      <c r="C49" s="11" t="s">
        <v>60</v>
      </c>
      <c r="D49" s="11" t="s">
        <v>24</v>
      </c>
      <c r="E49" s="11" t="s">
        <v>145</v>
      </c>
      <c r="F49" s="11" t="s">
        <v>56</v>
      </c>
      <c r="G49" s="13">
        <v>31248</v>
      </c>
      <c r="H49" s="14">
        <v>55.95</v>
      </c>
      <c r="I49" s="14">
        <v>55.94</v>
      </c>
    </row>
    <row r="50" spans="1:9" x14ac:dyDescent="0.3">
      <c r="A50" s="11" t="s">
        <v>146</v>
      </c>
      <c r="B50" s="12">
        <v>46293</v>
      </c>
      <c r="C50" s="11" t="s">
        <v>39</v>
      </c>
      <c r="D50" s="11" t="s">
        <v>24</v>
      </c>
      <c r="E50" s="11" t="s">
        <v>147</v>
      </c>
      <c r="F50" s="11" t="s">
        <v>41</v>
      </c>
      <c r="G50" s="13">
        <v>14825</v>
      </c>
      <c r="H50" s="14">
        <v>142.66999999999999</v>
      </c>
      <c r="I50" s="14">
        <v>143.03</v>
      </c>
    </row>
    <row r="51" spans="1:9" x14ac:dyDescent="0.3">
      <c r="A51" s="11" t="s">
        <v>148</v>
      </c>
      <c r="B51" s="12">
        <v>46293</v>
      </c>
      <c r="C51" s="11" t="s">
        <v>96</v>
      </c>
      <c r="D51" s="11" t="s">
        <v>26</v>
      </c>
      <c r="E51" s="11" t="s">
        <v>149</v>
      </c>
      <c r="F51" s="11" t="s">
        <v>52</v>
      </c>
      <c r="G51" s="13">
        <v>17579</v>
      </c>
      <c r="H51" s="14">
        <v>98.778000000000006</v>
      </c>
      <c r="I51" s="14">
        <v>98.864000000000004</v>
      </c>
    </row>
    <row r="52" spans="1:9" x14ac:dyDescent="0.3">
      <c r="A52" s="11" t="s">
        <v>150</v>
      </c>
      <c r="B52" s="12">
        <v>46293</v>
      </c>
      <c r="C52" s="11" t="s">
        <v>60</v>
      </c>
      <c r="D52" s="11" t="s">
        <v>24</v>
      </c>
      <c r="E52" s="11" t="s">
        <v>151</v>
      </c>
      <c r="F52" s="11" t="s">
        <v>56</v>
      </c>
      <c r="G52" s="13">
        <v>3765</v>
      </c>
      <c r="H52" s="14">
        <v>211.69</v>
      </c>
      <c r="I52" s="14">
        <v>209.32</v>
      </c>
    </row>
    <row r="53" spans="1:9" x14ac:dyDescent="0.3">
      <c r="A53" s="11" t="s">
        <v>152</v>
      </c>
      <c r="B53" s="12">
        <v>46293</v>
      </c>
      <c r="C53" s="11" t="s">
        <v>50</v>
      </c>
      <c r="D53" s="11" t="s">
        <v>25</v>
      </c>
      <c r="E53" s="11" t="s">
        <v>153</v>
      </c>
      <c r="F53" s="11" t="s">
        <v>52</v>
      </c>
      <c r="G53" s="13">
        <v>11929</v>
      </c>
      <c r="H53" s="14">
        <v>102.149</v>
      </c>
      <c r="I53" s="14">
        <v>102.11199999999999</v>
      </c>
    </row>
    <row r="54" spans="1:9" x14ac:dyDescent="0.3">
      <c r="A54" s="11" t="s">
        <v>154</v>
      </c>
      <c r="B54" s="12">
        <v>46293</v>
      </c>
      <c r="C54" s="11" t="s">
        <v>96</v>
      </c>
      <c r="D54" s="11" t="s">
        <v>26</v>
      </c>
      <c r="E54" s="11" t="s">
        <v>155</v>
      </c>
      <c r="F54" s="11" t="s">
        <v>52</v>
      </c>
      <c r="G54" s="13">
        <v>19810</v>
      </c>
      <c r="H54" s="14">
        <v>102.982</v>
      </c>
      <c r="I54" s="14">
        <v>102.834</v>
      </c>
    </row>
    <row r="55" spans="1:9" x14ac:dyDescent="0.3">
      <c r="A55" s="11" t="s">
        <v>156</v>
      </c>
      <c r="B55" s="12">
        <v>46293</v>
      </c>
      <c r="C55" s="11" t="s">
        <v>96</v>
      </c>
      <c r="D55" s="11" t="s">
        <v>26</v>
      </c>
      <c r="E55" s="11" t="s">
        <v>157</v>
      </c>
      <c r="F55" s="11" t="s">
        <v>52</v>
      </c>
      <c r="G55" s="13">
        <v>7066</v>
      </c>
      <c r="H55" s="14">
        <v>101.943</v>
      </c>
      <c r="I55" s="14">
        <v>101.782</v>
      </c>
    </row>
    <row r="56" spans="1:9" x14ac:dyDescent="0.3">
      <c r="A56" s="11" t="s">
        <v>158</v>
      </c>
      <c r="B56" s="12">
        <v>46293</v>
      </c>
      <c r="C56" s="11" t="s">
        <v>60</v>
      </c>
      <c r="D56" s="11" t="s">
        <v>24</v>
      </c>
      <c r="E56" s="11" t="s">
        <v>159</v>
      </c>
      <c r="F56" s="11" t="s">
        <v>56</v>
      </c>
      <c r="G56" s="13">
        <v>30064</v>
      </c>
      <c r="H56" s="14">
        <v>94.37</v>
      </c>
      <c r="I56" s="14">
        <v>93.91</v>
      </c>
    </row>
    <row r="57" spans="1:9" x14ac:dyDescent="0.3">
      <c r="A57" s="11" t="s">
        <v>160</v>
      </c>
      <c r="B57" s="12">
        <v>46290</v>
      </c>
      <c r="C57" s="11" t="s">
        <v>39</v>
      </c>
      <c r="D57" s="11" t="s">
        <v>24</v>
      </c>
      <c r="E57" s="11" t="s">
        <v>161</v>
      </c>
      <c r="F57" s="11" t="s">
        <v>41</v>
      </c>
      <c r="G57" s="13">
        <v>42229</v>
      </c>
      <c r="H57" s="14">
        <v>79.540000000000006</v>
      </c>
      <c r="I57" s="14">
        <v>80.38</v>
      </c>
    </row>
    <row r="58" spans="1:9" x14ac:dyDescent="0.3">
      <c r="A58" s="11" t="s">
        <v>162</v>
      </c>
      <c r="B58" s="12">
        <v>46293</v>
      </c>
      <c r="C58" s="11" t="s">
        <v>46</v>
      </c>
      <c r="D58" s="11" t="s">
        <v>25</v>
      </c>
      <c r="E58" s="11" t="s">
        <v>163</v>
      </c>
      <c r="F58" s="11" t="s">
        <v>48</v>
      </c>
      <c r="G58" s="13">
        <v>12526</v>
      </c>
      <c r="H58" s="14">
        <v>99.632000000000005</v>
      </c>
      <c r="I58" s="14">
        <v>99.825999999999993</v>
      </c>
    </row>
    <row r="59" spans="1:9" x14ac:dyDescent="0.3">
      <c r="A59" s="11" t="s">
        <v>164</v>
      </c>
      <c r="B59" s="12">
        <v>46293</v>
      </c>
      <c r="C59" s="11" t="s">
        <v>39</v>
      </c>
      <c r="D59" s="11" t="s">
        <v>24</v>
      </c>
      <c r="E59" s="11" t="s">
        <v>165</v>
      </c>
      <c r="F59" s="11" t="s">
        <v>41</v>
      </c>
      <c r="G59" s="13">
        <v>525</v>
      </c>
      <c r="H59" s="14">
        <v>81.72</v>
      </c>
      <c r="I59" s="14">
        <v>82.35</v>
      </c>
    </row>
    <row r="60" spans="1:9" x14ac:dyDescent="0.3">
      <c r="A60" s="11" t="s">
        <v>166</v>
      </c>
      <c r="B60" s="12">
        <v>46290</v>
      </c>
      <c r="C60" s="11" t="s">
        <v>50</v>
      </c>
      <c r="D60" s="11" t="s">
        <v>25</v>
      </c>
      <c r="E60" s="11" t="s">
        <v>167</v>
      </c>
      <c r="F60" s="11" t="s">
        <v>52</v>
      </c>
      <c r="G60" s="13">
        <v>4542</v>
      </c>
      <c r="H60" s="14">
        <v>107.43600000000001</v>
      </c>
      <c r="I60" s="14">
        <v>107.715</v>
      </c>
    </row>
    <row r="61" spans="1:9" x14ac:dyDescent="0.3">
      <c r="A61" s="11" t="s">
        <v>168</v>
      </c>
      <c r="B61" s="12">
        <v>46293</v>
      </c>
      <c r="C61" s="11" t="s">
        <v>46</v>
      </c>
      <c r="D61" s="11" t="s">
        <v>25</v>
      </c>
      <c r="E61" s="11" t="s">
        <v>169</v>
      </c>
      <c r="F61" s="11" t="s">
        <v>48</v>
      </c>
      <c r="G61" s="13">
        <v>3683</v>
      </c>
      <c r="H61" s="14">
        <v>104.032</v>
      </c>
      <c r="I61" s="14">
        <v>103.934</v>
      </c>
    </row>
    <row r="62" spans="1:9" x14ac:dyDescent="0.3">
      <c r="A62" s="11" t="s">
        <v>170</v>
      </c>
      <c r="B62" s="12">
        <v>46293</v>
      </c>
      <c r="C62" s="11" t="s">
        <v>46</v>
      </c>
      <c r="D62" s="11" t="s">
        <v>25</v>
      </c>
      <c r="E62" s="11" t="s">
        <v>171</v>
      </c>
      <c r="F62" s="11" t="s">
        <v>48</v>
      </c>
      <c r="G62" s="13">
        <v>9998</v>
      </c>
      <c r="H62" s="14">
        <v>104.253</v>
      </c>
      <c r="I62" s="14">
        <v>104.617</v>
      </c>
    </row>
    <row r="63" spans="1:9" x14ac:dyDescent="0.3">
      <c r="A63" s="11" t="s">
        <v>172</v>
      </c>
      <c r="B63" s="12">
        <v>46293</v>
      </c>
      <c r="C63" s="11" t="s">
        <v>50</v>
      </c>
      <c r="D63" s="11" t="s">
        <v>25</v>
      </c>
      <c r="E63" s="11" t="s">
        <v>173</v>
      </c>
      <c r="F63" s="11" t="s">
        <v>52</v>
      </c>
      <c r="G63" s="13">
        <v>2307</v>
      </c>
      <c r="H63" s="14">
        <v>96.932000000000002</v>
      </c>
      <c r="I63" s="14">
        <v>97</v>
      </c>
    </row>
    <row r="64" spans="1:9" x14ac:dyDescent="0.3">
      <c r="A64" s="11" t="s">
        <v>174</v>
      </c>
      <c r="B64" s="12">
        <v>46293</v>
      </c>
      <c r="C64" s="11" t="s">
        <v>60</v>
      </c>
      <c r="D64" s="11" t="s">
        <v>24</v>
      </c>
      <c r="E64" s="11" t="s">
        <v>175</v>
      </c>
      <c r="F64" s="11" t="s">
        <v>56</v>
      </c>
      <c r="G64" s="13">
        <v>2158</v>
      </c>
      <c r="H64" s="14">
        <v>38.869999999999997</v>
      </c>
      <c r="I64" s="14">
        <v>38.86</v>
      </c>
    </row>
    <row r="65" spans="1:9" x14ac:dyDescent="0.3">
      <c r="A65" s="11" t="s">
        <v>176</v>
      </c>
      <c r="B65" s="12">
        <v>46293</v>
      </c>
      <c r="C65" s="11" t="s">
        <v>96</v>
      </c>
      <c r="D65" s="11" t="s">
        <v>26</v>
      </c>
      <c r="E65" s="11" t="s">
        <v>177</v>
      </c>
      <c r="F65" s="11" t="s">
        <v>52</v>
      </c>
      <c r="G65" s="13">
        <v>14244</v>
      </c>
      <c r="H65" s="14">
        <v>99.638999999999996</v>
      </c>
      <c r="I65" s="14">
        <v>99.674000000000007</v>
      </c>
    </row>
    <row r="66" spans="1:9" x14ac:dyDescent="0.3">
      <c r="A66" s="11" t="s">
        <v>178</v>
      </c>
      <c r="B66" s="12">
        <v>46293</v>
      </c>
      <c r="C66" s="11" t="s">
        <v>43</v>
      </c>
      <c r="D66" s="11" t="s">
        <v>27</v>
      </c>
      <c r="E66" s="11" t="s">
        <v>179</v>
      </c>
      <c r="F66" s="11" t="s">
        <v>41</v>
      </c>
      <c r="G66" s="13">
        <v>1321127</v>
      </c>
      <c r="H66" s="14">
        <v>1.3961399999999999</v>
      </c>
      <c r="I66" s="14">
        <v>1.39669</v>
      </c>
    </row>
    <row r="67" spans="1:9" x14ac:dyDescent="0.3">
      <c r="A67" s="11" t="s">
        <v>180</v>
      </c>
      <c r="B67" s="12">
        <v>46293</v>
      </c>
      <c r="C67" s="11" t="s">
        <v>39</v>
      </c>
      <c r="D67" s="11" t="s">
        <v>24</v>
      </c>
      <c r="E67" s="11" t="s">
        <v>181</v>
      </c>
      <c r="F67" s="11" t="s">
        <v>41</v>
      </c>
      <c r="G67" s="13">
        <v>38384</v>
      </c>
      <c r="H67" s="14">
        <v>36.01</v>
      </c>
      <c r="I67" s="14">
        <v>36.119999999999997</v>
      </c>
    </row>
    <row r="68" spans="1:9" x14ac:dyDescent="0.3">
      <c r="A68" s="11" t="s">
        <v>182</v>
      </c>
      <c r="B68" s="12">
        <v>46293</v>
      </c>
      <c r="C68" s="11" t="s">
        <v>39</v>
      </c>
      <c r="D68" s="11" t="s">
        <v>24</v>
      </c>
      <c r="E68" s="11" t="s">
        <v>183</v>
      </c>
      <c r="F68" s="11" t="s">
        <v>41</v>
      </c>
      <c r="G68" s="13">
        <v>22641</v>
      </c>
      <c r="H68" s="14">
        <v>47.08</v>
      </c>
      <c r="I68" s="14">
        <v>47.14</v>
      </c>
    </row>
    <row r="69" spans="1:9" x14ac:dyDescent="0.3">
      <c r="A69" s="11" t="s">
        <v>184</v>
      </c>
      <c r="B69" s="12">
        <v>46293</v>
      </c>
      <c r="C69" s="11" t="s">
        <v>43</v>
      </c>
      <c r="D69" s="11" t="s">
        <v>27</v>
      </c>
      <c r="E69" s="11" t="s">
        <v>185</v>
      </c>
      <c r="F69" s="11" t="s">
        <v>41</v>
      </c>
      <c r="G69" s="13">
        <v>4921871</v>
      </c>
      <c r="H69" s="14">
        <v>1.1719200000000001</v>
      </c>
      <c r="I69" s="14">
        <v>1.17058</v>
      </c>
    </row>
    <row r="70" spans="1:9" x14ac:dyDescent="0.3">
      <c r="A70" s="11" t="s">
        <v>186</v>
      </c>
      <c r="B70" s="12">
        <v>46293</v>
      </c>
      <c r="C70" s="11" t="s">
        <v>39</v>
      </c>
      <c r="D70" s="11" t="s">
        <v>24</v>
      </c>
      <c r="E70" s="11" t="s">
        <v>187</v>
      </c>
      <c r="F70" s="11" t="s">
        <v>41</v>
      </c>
      <c r="G70" s="13">
        <v>36522</v>
      </c>
      <c r="H70" s="14">
        <v>138.44</v>
      </c>
      <c r="I70" s="14">
        <v>136.28</v>
      </c>
    </row>
    <row r="71" spans="1:9" x14ac:dyDescent="0.3">
      <c r="A71" s="11" t="s">
        <v>188</v>
      </c>
      <c r="B71" s="12">
        <v>46293</v>
      </c>
      <c r="C71" s="11" t="s">
        <v>60</v>
      </c>
      <c r="D71" s="11" t="s">
        <v>24</v>
      </c>
      <c r="E71" s="11" t="s">
        <v>189</v>
      </c>
      <c r="F71" s="11" t="s">
        <v>56</v>
      </c>
      <c r="G71" s="13">
        <v>13980</v>
      </c>
      <c r="H71" s="14">
        <v>94.22</v>
      </c>
      <c r="I71" s="14">
        <v>93.88</v>
      </c>
    </row>
    <row r="72" spans="1:9" x14ac:dyDescent="0.3">
      <c r="A72" s="11" t="s">
        <v>190</v>
      </c>
      <c r="B72" s="12">
        <v>46293</v>
      </c>
      <c r="C72" s="11" t="s">
        <v>60</v>
      </c>
      <c r="D72" s="11" t="s">
        <v>24</v>
      </c>
      <c r="E72" s="11" t="s">
        <v>191</v>
      </c>
      <c r="F72" s="11" t="s">
        <v>56</v>
      </c>
      <c r="G72" s="13">
        <v>17189</v>
      </c>
      <c r="H72" s="14">
        <v>137.38</v>
      </c>
      <c r="I72" s="14">
        <v>138.11000000000001</v>
      </c>
    </row>
    <row r="73" spans="1:9" x14ac:dyDescent="0.3">
      <c r="A73" s="11" t="s">
        <v>192</v>
      </c>
      <c r="B73" s="12">
        <v>46293</v>
      </c>
      <c r="C73" s="11" t="s">
        <v>43</v>
      </c>
      <c r="D73" s="11" t="s">
        <v>27</v>
      </c>
      <c r="E73" s="11" t="s">
        <v>193</v>
      </c>
      <c r="F73" s="11" t="s">
        <v>41</v>
      </c>
      <c r="G73" s="13">
        <v>3434331</v>
      </c>
      <c r="H73" s="14">
        <v>1.22326</v>
      </c>
      <c r="I73" s="14">
        <v>1.2234</v>
      </c>
    </row>
    <row r="74" spans="1:9" x14ac:dyDescent="0.3">
      <c r="A74" s="11" t="s">
        <v>194</v>
      </c>
      <c r="B74" s="12">
        <v>46293</v>
      </c>
      <c r="C74" s="11" t="s">
        <v>39</v>
      </c>
      <c r="D74" s="11" t="s">
        <v>195</v>
      </c>
      <c r="E74" s="11" t="s">
        <v>196</v>
      </c>
      <c r="F74" s="11" t="s">
        <v>41</v>
      </c>
      <c r="G74" s="13">
        <v>10465</v>
      </c>
      <c r="H74" s="14">
        <v>235.21</v>
      </c>
      <c r="I74" s="14">
        <v>235.74</v>
      </c>
    </row>
    <row r="75" spans="1:9" x14ac:dyDescent="0.3">
      <c r="A75" s="11" t="s">
        <v>197</v>
      </c>
      <c r="B75" s="12">
        <v>46293</v>
      </c>
      <c r="C75" s="11" t="s">
        <v>60</v>
      </c>
      <c r="D75" s="11" t="s">
        <v>24</v>
      </c>
      <c r="E75" s="11" t="s">
        <v>198</v>
      </c>
      <c r="F75" s="11" t="s">
        <v>56</v>
      </c>
      <c r="G75" s="13">
        <v>37434</v>
      </c>
      <c r="H75" s="14">
        <v>209.06</v>
      </c>
      <c r="I75" s="14">
        <v>209.01</v>
      </c>
    </row>
    <row r="76" spans="1:9" x14ac:dyDescent="0.3">
      <c r="A76" s="11" t="s">
        <v>199</v>
      </c>
      <c r="B76" s="12">
        <v>46293</v>
      </c>
      <c r="C76" s="11" t="s">
        <v>39</v>
      </c>
      <c r="D76" s="11" t="s">
        <v>24</v>
      </c>
      <c r="E76" s="11" t="s">
        <v>200</v>
      </c>
      <c r="F76" s="11" t="s">
        <v>41</v>
      </c>
      <c r="G76" s="13">
        <v>32116</v>
      </c>
      <c r="H76" s="14">
        <v>77.010000000000005</v>
      </c>
      <c r="I76" s="14">
        <v>75.66</v>
      </c>
    </row>
    <row r="77" spans="1:9" x14ac:dyDescent="0.3">
      <c r="A77" s="11" t="s">
        <v>201</v>
      </c>
      <c r="B77" s="12">
        <v>46293</v>
      </c>
      <c r="C77" s="11" t="s">
        <v>39</v>
      </c>
      <c r="D77" s="11" t="s">
        <v>24</v>
      </c>
      <c r="E77" s="11" t="s">
        <v>202</v>
      </c>
      <c r="F77" s="11" t="s">
        <v>41</v>
      </c>
      <c r="G77" s="13">
        <v>44020</v>
      </c>
      <c r="H77" s="14">
        <v>119.48</v>
      </c>
      <c r="I77" s="14">
        <v>119.15</v>
      </c>
    </row>
    <row r="78" spans="1:9" x14ac:dyDescent="0.3">
      <c r="A78" s="11" t="s">
        <v>203</v>
      </c>
      <c r="B78" s="12">
        <v>46293</v>
      </c>
      <c r="C78" s="11" t="s">
        <v>46</v>
      </c>
      <c r="D78" s="11" t="s">
        <v>25</v>
      </c>
      <c r="E78" s="11" t="s">
        <v>204</v>
      </c>
      <c r="F78" s="11" t="s">
        <v>48</v>
      </c>
      <c r="G78" s="13">
        <v>9742</v>
      </c>
      <c r="H78" s="14">
        <v>104.836</v>
      </c>
      <c r="I78" s="14">
        <v>104.523</v>
      </c>
    </row>
    <row r="79" spans="1:9" x14ac:dyDescent="0.3">
      <c r="A79" s="11" t="s">
        <v>205</v>
      </c>
      <c r="B79" s="12">
        <v>46293</v>
      </c>
      <c r="C79" s="11" t="s">
        <v>43</v>
      </c>
      <c r="D79" s="11" t="s">
        <v>27</v>
      </c>
      <c r="E79" s="11" t="s">
        <v>206</v>
      </c>
      <c r="F79" s="11" t="s">
        <v>41</v>
      </c>
      <c r="G79" s="13">
        <v>1159030</v>
      </c>
      <c r="H79" s="14">
        <v>1.5648200000000001</v>
      </c>
      <c r="I79" s="14">
        <v>1.56856</v>
      </c>
    </row>
    <row r="80" spans="1:9" x14ac:dyDescent="0.3">
      <c r="A80" s="11" t="s">
        <v>207</v>
      </c>
      <c r="B80" s="12">
        <v>46293</v>
      </c>
      <c r="C80" s="11" t="s">
        <v>39</v>
      </c>
      <c r="D80" s="11" t="s">
        <v>24</v>
      </c>
      <c r="E80" s="11" t="s">
        <v>208</v>
      </c>
      <c r="F80" s="11" t="s">
        <v>41</v>
      </c>
      <c r="G80" s="13">
        <v>6281</v>
      </c>
      <c r="H80" s="14">
        <v>88.04</v>
      </c>
      <c r="I80" s="14">
        <v>88.49</v>
      </c>
    </row>
    <row r="81" spans="1:9" x14ac:dyDescent="0.3">
      <c r="A81" s="11" t="s">
        <v>209</v>
      </c>
      <c r="B81" s="12">
        <v>46293</v>
      </c>
      <c r="C81" s="11" t="s">
        <v>54</v>
      </c>
      <c r="D81" s="11" t="s">
        <v>27</v>
      </c>
      <c r="E81" s="11" t="s">
        <v>210</v>
      </c>
      <c r="F81" s="11" t="s">
        <v>56</v>
      </c>
      <c r="G81" s="13">
        <v>1984925</v>
      </c>
      <c r="H81" s="14">
        <v>0.91074999999999995</v>
      </c>
      <c r="I81" s="14">
        <v>0.90935999999999995</v>
      </c>
    </row>
    <row r="82" spans="1:9" x14ac:dyDescent="0.3">
      <c r="A82" s="11" t="s">
        <v>211</v>
      </c>
      <c r="B82" s="12">
        <v>46293</v>
      </c>
      <c r="C82" s="11" t="s">
        <v>46</v>
      </c>
      <c r="D82" s="11" t="s">
        <v>25</v>
      </c>
      <c r="E82" s="11" t="s">
        <v>212</v>
      </c>
      <c r="F82" s="11" t="s">
        <v>48</v>
      </c>
      <c r="G82" s="13">
        <v>18675</v>
      </c>
      <c r="H82" s="14">
        <v>92.31</v>
      </c>
      <c r="I82" s="14"/>
    </row>
    <row r="83" spans="1:9" x14ac:dyDescent="0.3">
      <c r="A83" s="11" t="s">
        <v>213</v>
      </c>
      <c r="B83" s="12">
        <v>46293</v>
      </c>
      <c r="C83" s="11" t="s">
        <v>54</v>
      </c>
      <c r="D83" s="11" t="s">
        <v>27</v>
      </c>
      <c r="E83" s="11" t="s">
        <v>214</v>
      </c>
      <c r="F83" s="11" t="s">
        <v>56</v>
      </c>
      <c r="G83" s="13">
        <v>4363433</v>
      </c>
      <c r="H83" s="14">
        <v>1.0567899999999999</v>
      </c>
      <c r="I83" s="14">
        <v>1.05616</v>
      </c>
    </row>
    <row r="84" spans="1:9" x14ac:dyDescent="0.3">
      <c r="A84" s="11" t="s">
        <v>215</v>
      </c>
      <c r="B84" s="12">
        <v>46293</v>
      </c>
      <c r="C84" s="11" t="s">
        <v>50</v>
      </c>
      <c r="D84" s="11" t="s">
        <v>25</v>
      </c>
      <c r="E84" s="11" t="s">
        <v>216</v>
      </c>
      <c r="F84" s="11" t="s">
        <v>52</v>
      </c>
      <c r="G84" s="13">
        <v>4492</v>
      </c>
      <c r="H84" s="14">
        <v>106.283</v>
      </c>
      <c r="I84" s="14">
        <v>106.105</v>
      </c>
    </row>
    <row r="85" spans="1:9" x14ac:dyDescent="0.3">
      <c r="A85" s="11" t="s">
        <v>217</v>
      </c>
      <c r="B85" s="12">
        <v>46293</v>
      </c>
      <c r="C85" s="11" t="s">
        <v>43</v>
      </c>
      <c r="D85" s="11" t="s">
        <v>27</v>
      </c>
      <c r="E85" s="11" t="s">
        <v>218</v>
      </c>
      <c r="F85" s="11" t="s">
        <v>41</v>
      </c>
      <c r="G85" s="13">
        <v>1375951</v>
      </c>
      <c r="H85" s="14">
        <v>0.98607999999999996</v>
      </c>
      <c r="I85" s="14">
        <v>0.98750000000000004</v>
      </c>
    </row>
    <row r="86" spans="1:9" x14ac:dyDescent="0.3">
      <c r="A86" s="11" t="s">
        <v>219</v>
      </c>
      <c r="B86" s="12">
        <v>46293</v>
      </c>
      <c r="C86" s="11" t="s">
        <v>60</v>
      </c>
      <c r="D86" s="11" t="s">
        <v>24</v>
      </c>
      <c r="E86" s="11" t="s">
        <v>220</v>
      </c>
      <c r="F86" s="11" t="s">
        <v>56</v>
      </c>
      <c r="G86" s="13">
        <v>35527</v>
      </c>
      <c r="H86" s="14">
        <v>34.159999999999997</v>
      </c>
      <c r="I86" s="14">
        <v>34.21</v>
      </c>
    </row>
    <row r="87" spans="1:9" x14ac:dyDescent="0.3">
      <c r="A87" s="11" t="s">
        <v>221</v>
      </c>
      <c r="B87" s="12">
        <v>46293</v>
      </c>
      <c r="C87" s="11" t="s">
        <v>96</v>
      </c>
      <c r="D87" s="11" t="s">
        <v>26</v>
      </c>
      <c r="E87" s="11" t="s">
        <v>222</v>
      </c>
      <c r="F87" s="11" t="s">
        <v>52</v>
      </c>
      <c r="G87" s="13">
        <v>18096</v>
      </c>
      <c r="H87" s="14">
        <v>99.483999999999995</v>
      </c>
      <c r="I87" s="14">
        <v>99.518000000000001</v>
      </c>
    </row>
    <row r="88" spans="1:9" x14ac:dyDescent="0.3">
      <c r="A88" s="11" t="s">
        <v>223</v>
      </c>
      <c r="B88" s="12">
        <v>46293</v>
      </c>
      <c r="C88" s="11" t="s">
        <v>77</v>
      </c>
      <c r="D88" s="11" t="s">
        <v>26</v>
      </c>
      <c r="E88" s="11" t="s">
        <v>224</v>
      </c>
      <c r="F88" s="11" t="s">
        <v>48</v>
      </c>
      <c r="G88" s="13">
        <v>14637</v>
      </c>
      <c r="H88" s="14">
        <v>96.680999999999997</v>
      </c>
      <c r="I88" s="14">
        <v>96.68</v>
      </c>
    </row>
    <row r="89" spans="1:9" x14ac:dyDescent="0.3">
      <c r="A89" s="11" t="s">
        <v>225</v>
      </c>
      <c r="B89" s="12">
        <v>46293</v>
      </c>
      <c r="C89" s="11" t="s">
        <v>43</v>
      </c>
      <c r="D89" s="11" t="s">
        <v>27</v>
      </c>
      <c r="E89" s="11" t="s">
        <v>226</v>
      </c>
      <c r="F89" s="11" t="s">
        <v>41</v>
      </c>
      <c r="G89" s="13">
        <v>485800</v>
      </c>
      <c r="H89" s="14">
        <v>1.50342</v>
      </c>
      <c r="I89" s="14">
        <v>1.5044200000000001</v>
      </c>
    </row>
    <row r="90" spans="1:9" x14ac:dyDescent="0.3">
      <c r="A90" s="11" t="s">
        <v>227</v>
      </c>
      <c r="B90" s="12">
        <v>46293</v>
      </c>
      <c r="C90" s="11" t="s">
        <v>50</v>
      </c>
      <c r="D90" s="11" t="s">
        <v>25</v>
      </c>
      <c r="E90" s="11" t="s">
        <v>228</v>
      </c>
      <c r="F90" s="11" t="s">
        <v>52</v>
      </c>
      <c r="G90" s="13">
        <v>15239</v>
      </c>
      <c r="H90" s="14">
        <v>101.289</v>
      </c>
      <c r="I90" s="14">
        <v>101.21899999999999</v>
      </c>
    </row>
    <row r="91" spans="1:9" x14ac:dyDescent="0.3">
      <c r="A91" s="11" t="s">
        <v>229</v>
      </c>
      <c r="B91" s="12">
        <v>46293</v>
      </c>
      <c r="C91" s="11" t="s">
        <v>60</v>
      </c>
      <c r="D91" s="11" t="s">
        <v>24</v>
      </c>
      <c r="E91" s="11" t="s">
        <v>230</v>
      </c>
      <c r="F91" s="11" t="s">
        <v>56</v>
      </c>
      <c r="G91" s="13">
        <v>15347</v>
      </c>
      <c r="H91" s="14">
        <v>185.34</v>
      </c>
      <c r="I91" s="14">
        <v>184.94</v>
      </c>
    </row>
    <row r="92" spans="1:9" x14ac:dyDescent="0.3">
      <c r="A92" s="11" t="s">
        <v>231</v>
      </c>
      <c r="B92" s="12">
        <v>46293</v>
      </c>
      <c r="C92" s="11" t="s">
        <v>60</v>
      </c>
      <c r="D92" s="11" t="s">
        <v>232</v>
      </c>
      <c r="E92" s="11" t="s">
        <v>233</v>
      </c>
      <c r="F92" s="11" t="s">
        <v>56</v>
      </c>
      <c r="G92" s="13">
        <v>38655</v>
      </c>
      <c r="H92" s="14">
        <v>114.66</v>
      </c>
      <c r="I92" s="14">
        <v>114.69</v>
      </c>
    </row>
    <row r="93" spans="1:9" x14ac:dyDescent="0.3">
      <c r="A93" s="11" t="s">
        <v>234</v>
      </c>
      <c r="B93" s="12">
        <v>46293</v>
      </c>
      <c r="C93" s="11" t="s">
        <v>50</v>
      </c>
      <c r="D93" s="11" t="s">
        <v>25</v>
      </c>
      <c r="E93" s="11" t="s">
        <v>235</v>
      </c>
      <c r="F93" s="11" t="s">
        <v>52</v>
      </c>
      <c r="G93" s="13">
        <v>15923</v>
      </c>
      <c r="H93" s="14">
        <v>107.74299999999999</v>
      </c>
      <c r="I93" s="14">
        <v>106.166</v>
      </c>
    </row>
    <row r="94" spans="1:9" x14ac:dyDescent="0.3">
      <c r="A94" s="11" t="s">
        <v>236</v>
      </c>
      <c r="B94" s="12">
        <v>46293</v>
      </c>
      <c r="C94" s="11" t="s">
        <v>39</v>
      </c>
      <c r="D94" s="11" t="s">
        <v>24</v>
      </c>
      <c r="E94" s="11" t="s">
        <v>237</v>
      </c>
      <c r="F94" s="11" t="s">
        <v>41</v>
      </c>
      <c r="G94" s="13">
        <v>7073</v>
      </c>
      <c r="H94" s="14">
        <v>292.13</v>
      </c>
      <c r="I94" s="14">
        <v>292</v>
      </c>
    </row>
    <row r="95" spans="1:9" x14ac:dyDescent="0.3">
      <c r="A95" s="11" t="s">
        <v>238</v>
      </c>
      <c r="B95" s="12">
        <v>46293</v>
      </c>
      <c r="C95" s="11" t="s">
        <v>60</v>
      </c>
      <c r="D95" s="11" t="s">
        <v>24</v>
      </c>
      <c r="E95" s="11" t="s">
        <v>239</v>
      </c>
      <c r="F95" s="11" t="s">
        <v>56</v>
      </c>
      <c r="G95" s="13">
        <v>37523</v>
      </c>
      <c r="H95" s="14">
        <v>222.54</v>
      </c>
      <c r="I95" s="14">
        <v>220.9</v>
      </c>
    </row>
    <row r="96" spans="1:9" x14ac:dyDescent="0.3">
      <c r="A96" s="11" t="s">
        <v>240</v>
      </c>
      <c r="B96" s="12">
        <v>46293</v>
      </c>
      <c r="C96" s="11" t="s">
        <v>60</v>
      </c>
      <c r="D96" s="11" t="s">
        <v>24</v>
      </c>
      <c r="E96" s="11" t="s">
        <v>241</v>
      </c>
      <c r="F96" s="11" t="s">
        <v>56</v>
      </c>
      <c r="G96" s="13">
        <v>35841</v>
      </c>
      <c r="H96" s="14">
        <v>209.48</v>
      </c>
      <c r="I96" s="14">
        <v>208.75</v>
      </c>
    </row>
    <row r="97" spans="1:9" x14ac:dyDescent="0.3">
      <c r="A97" s="11" t="s">
        <v>242</v>
      </c>
      <c r="B97" s="12">
        <v>46293</v>
      </c>
      <c r="C97" s="11" t="s">
        <v>54</v>
      </c>
      <c r="D97" s="11" t="s">
        <v>243</v>
      </c>
      <c r="E97" s="11" t="s">
        <v>244</v>
      </c>
      <c r="F97" s="11" t="s">
        <v>56</v>
      </c>
      <c r="G97" s="13">
        <v>3287749</v>
      </c>
      <c r="H97" s="14">
        <v>1.45177</v>
      </c>
      <c r="I97" s="14">
        <v>1.44919</v>
      </c>
    </row>
    <row r="98" spans="1:9" x14ac:dyDescent="0.3">
      <c r="A98" s="11" t="s">
        <v>245</v>
      </c>
      <c r="B98" s="12">
        <v>46293</v>
      </c>
      <c r="C98" s="11" t="s">
        <v>77</v>
      </c>
      <c r="D98" s="11" t="s">
        <v>26</v>
      </c>
      <c r="E98" s="11" t="s">
        <v>246</v>
      </c>
      <c r="F98" s="11" t="s">
        <v>48</v>
      </c>
      <c r="G98" s="13">
        <v>17112</v>
      </c>
      <c r="H98" s="14">
        <v>97.451999999999998</v>
      </c>
      <c r="I98" s="14">
        <v>97.570999999999998</v>
      </c>
    </row>
    <row r="99" spans="1:9" x14ac:dyDescent="0.3">
      <c r="A99" s="11" t="s">
        <v>247</v>
      </c>
      <c r="B99" s="12">
        <v>46293</v>
      </c>
      <c r="C99" s="11" t="s">
        <v>50</v>
      </c>
      <c r="D99" s="11" t="s">
        <v>25</v>
      </c>
      <c r="E99" s="11" t="s">
        <v>248</v>
      </c>
      <c r="F99" s="11" t="s">
        <v>52</v>
      </c>
      <c r="G99" s="13">
        <v>5176</v>
      </c>
      <c r="H99" s="14">
        <v>105.354</v>
      </c>
      <c r="I99" s="14">
        <v>105.48399999999999</v>
      </c>
    </row>
    <row r="100" spans="1:9" x14ac:dyDescent="0.3">
      <c r="A100" s="11" t="s">
        <v>249</v>
      </c>
      <c r="B100" s="12">
        <v>46293</v>
      </c>
      <c r="C100" s="11" t="s">
        <v>39</v>
      </c>
      <c r="D100" s="11" t="s">
        <v>24</v>
      </c>
      <c r="E100" s="11" t="s">
        <v>250</v>
      </c>
      <c r="F100" s="11" t="s">
        <v>41</v>
      </c>
      <c r="G100" s="13">
        <v>41713</v>
      </c>
      <c r="H100" s="14">
        <v>216.51</v>
      </c>
      <c r="I100" s="14">
        <v>216.68</v>
      </c>
    </row>
    <row r="101" spans="1:9" x14ac:dyDescent="0.3">
      <c r="A101" s="11" t="s">
        <v>251</v>
      </c>
      <c r="B101" s="12">
        <v>46293</v>
      </c>
      <c r="C101" s="11" t="s">
        <v>60</v>
      </c>
      <c r="D101" s="11" t="s">
        <v>24</v>
      </c>
      <c r="E101" s="11" t="s">
        <v>252</v>
      </c>
      <c r="F101" s="11" t="s">
        <v>56</v>
      </c>
      <c r="G101" s="13">
        <v>28177</v>
      </c>
      <c r="H101" s="14">
        <v>228.6</v>
      </c>
      <c r="I101" s="14">
        <v>230.45</v>
      </c>
    </row>
    <row r="102" spans="1:9" x14ac:dyDescent="0.3">
      <c r="A102" s="11" t="s">
        <v>253</v>
      </c>
      <c r="B102" s="12">
        <v>46293</v>
      </c>
      <c r="C102" s="11" t="s">
        <v>60</v>
      </c>
      <c r="D102" s="11" t="s">
        <v>24</v>
      </c>
      <c r="E102" s="11" t="s">
        <v>254</v>
      </c>
      <c r="F102" s="11" t="s">
        <v>56</v>
      </c>
      <c r="G102" s="13">
        <v>34857</v>
      </c>
      <c r="H102" s="14">
        <v>62.79</v>
      </c>
      <c r="I102" s="14">
        <v>62.76</v>
      </c>
    </row>
    <row r="103" spans="1:9" x14ac:dyDescent="0.3">
      <c r="A103" s="11" t="s">
        <v>255</v>
      </c>
      <c r="B103" s="12">
        <v>46293</v>
      </c>
      <c r="C103" s="11" t="s">
        <v>43</v>
      </c>
      <c r="D103" s="11" t="s">
        <v>27</v>
      </c>
      <c r="E103" s="11" t="s">
        <v>256</v>
      </c>
      <c r="F103" s="11" t="s">
        <v>41</v>
      </c>
      <c r="G103" s="13">
        <v>2323172</v>
      </c>
      <c r="H103" s="14">
        <v>1.4709300000000001</v>
      </c>
      <c r="I103" s="14">
        <v>1.4700800000000001</v>
      </c>
    </row>
    <row r="104" spans="1:9" x14ac:dyDescent="0.3">
      <c r="A104" s="11" t="s">
        <v>257</v>
      </c>
      <c r="B104" s="12">
        <v>46293</v>
      </c>
      <c r="C104" s="11" t="s">
        <v>54</v>
      </c>
      <c r="D104" s="11" t="s">
        <v>27</v>
      </c>
      <c r="E104" s="11" t="s">
        <v>258</v>
      </c>
      <c r="F104" s="11" t="s">
        <v>56</v>
      </c>
      <c r="G104" s="13">
        <v>4067612</v>
      </c>
      <c r="H104" s="14">
        <v>0.91818</v>
      </c>
      <c r="I104" s="14">
        <v>0.91683000000000003</v>
      </c>
    </row>
    <row r="105" spans="1:9" x14ac:dyDescent="0.3">
      <c r="A105" s="11" t="s">
        <v>259</v>
      </c>
      <c r="B105" s="12">
        <v>46293</v>
      </c>
      <c r="C105" s="11" t="s">
        <v>77</v>
      </c>
      <c r="D105" s="11" t="s">
        <v>26</v>
      </c>
      <c r="E105" s="11" t="s">
        <v>260</v>
      </c>
      <c r="F105" s="11" t="s">
        <v>48</v>
      </c>
      <c r="G105" s="13">
        <v>16064</v>
      </c>
      <c r="H105" s="14">
        <v>96.843999999999994</v>
      </c>
      <c r="I105" s="14">
        <v>96.710999999999999</v>
      </c>
    </row>
    <row r="106" spans="1:9" x14ac:dyDescent="0.3">
      <c r="A106" s="11" t="s">
        <v>261</v>
      </c>
      <c r="B106" s="12">
        <v>46293</v>
      </c>
      <c r="C106" s="11" t="s">
        <v>77</v>
      </c>
      <c r="D106" s="11" t="s">
        <v>26</v>
      </c>
      <c r="E106" s="11" t="s">
        <v>262</v>
      </c>
      <c r="F106" s="11" t="s">
        <v>48</v>
      </c>
      <c r="G106" s="13">
        <v>19035</v>
      </c>
      <c r="H106" s="14">
        <v>100.428</v>
      </c>
      <c r="I106" s="14">
        <v>100.617</v>
      </c>
    </row>
    <row r="107" spans="1:9" x14ac:dyDescent="0.3">
      <c r="A107" s="11" t="s">
        <v>263</v>
      </c>
      <c r="B107" s="12">
        <v>46293</v>
      </c>
      <c r="C107" s="11" t="s">
        <v>60</v>
      </c>
      <c r="D107" s="11" t="s">
        <v>24</v>
      </c>
      <c r="E107" s="11" t="s">
        <v>264</v>
      </c>
      <c r="F107" s="11" t="s">
        <v>56</v>
      </c>
      <c r="G107" s="13">
        <v>48365</v>
      </c>
      <c r="H107" s="14">
        <v>27</v>
      </c>
      <c r="I107" s="14">
        <v>27.02</v>
      </c>
    </row>
    <row r="108" spans="1:9" x14ac:dyDescent="0.3">
      <c r="A108" s="11" t="s">
        <v>265</v>
      </c>
      <c r="B108" s="12">
        <v>46293</v>
      </c>
      <c r="C108" s="11" t="s">
        <v>60</v>
      </c>
      <c r="D108" s="11" t="s">
        <v>24</v>
      </c>
      <c r="E108" s="11" t="s">
        <v>266</v>
      </c>
      <c r="F108" s="11" t="s">
        <v>56</v>
      </c>
      <c r="G108" s="13">
        <v>10287</v>
      </c>
      <c r="H108" s="14">
        <v>94.05</v>
      </c>
      <c r="I108" s="14">
        <v>96.64</v>
      </c>
    </row>
    <row r="109" spans="1:9" x14ac:dyDescent="0.3">
      <c r="A109" s="11" t="s">
        <v>267</v>
      </c>
      <c r="B109" s="12">
        <v>46293</v>
      </c>
      <c r="C109" s="11" t="s">
        <v>46</v>
      </c>
      <c r="D109" s="11" t="s">
        <v>25</v>
      </c>
      <c r="E109" s="11" t="s">
        <v>268</v>
      </c>
      <c r="F109" s="11" t="s">
        <v>48</v>
      </c>
      <c r="G109" s="13">
        <v>16554</v>
      </c>
      <c r="H109" s="14">
        <v>105.289</v>
      </c>
      <c r="I109" s="14">
        <v>105.828</v>
      </c>
    </row>
    <row r="110" spans="1:9" x14ac:dyDescent="0.3">
      <c r="A110" s="11" t="s">
        <v>269</v>
      </c>
      <c r="B110" s="12">
        <v>46293</v>
      </c>
      <c r="C110" s="11" t="s">
        <v>60</v>
      </c>
      <c r="D110" s="11" t="s">
        <v>24</v>
      </c>
      <c r="E110" s="11" t="s">
        <v>270</v>
      </c>
      <c r="F110" s="11" t="s">
        <v>56</v>
      </c>
      <c r="G110" s="13">
        <v>4437</v>
      </c>
      <c r="H110" s="14">
        <v>250.1</v>
      </c>
      <c r="I110" s="14">
        <v>249.67</v>
      </c>
    </row>
    <row r="111" spans="1:9" x14ac:dyDescent="0.3">
      <c r="A111" s="11" t="s">
        <v>271</v>
      </c>
      <c r="B111" s="12">
        <v>46293</v>
      </c>
      <c r="C111" s="11" t="s">
        <v>96</v>
      </c>
      <c r="D111" s="11" t="s">
        <v>26</v>
      </c>
      <c r="E111" s="11" t="s">
        <v>272</v>
      </c>
      <c r="F111" s="11" t="s">
        <v>52</v>
      </c>
      <c r="G111" s="13">
        <v>19443</v>
      </c>
      <c r="H111" s="14">
        <v>97.194000000000003</v>
      </c>
      <c r="I111" s="14">
        <v>96.72</v>
      </c>
    </row>
    <row r="112" spans="1:9" x14ac:dyDescent="0.3">
      <c r="A112" s="11" t="s">
        <v>273</v>
      </c>
      <c r="B112" s="12">
        <v>46293</v>
      </c>
      <c r="C112" s="11" t="s">
        <v>77</v>
      </c>
      <c r="D112" s="11" t="s">
        <v>274</v>
      </c>
      <c r="E112" s="11" t="s">
        <v>275</v>
      </c>
      <c r="F112" s="11" t="s">
        <v>48</v>
      </c>
      <c r="G112" s="13">
        <v>9668</v>
      </c>
      <c r="H112" s="14">
        <v>101.624</v>
      </c>
      <c r="I112" s="14">
        <v>101.773</v>
      </c>
    </row>
    <row r="113" spans="1:9" x14ac:dyDescent="0.3">
      <c r="A113" s="11" t="s">
        <v>276</v>
      </c>
      <c r="B113" s="12">
        <v>46293</v>
      </c>
      <c r="C113" s="11" t="s">
        <v>96</v>
      </c>
      <c r="D113" s="11" t="s">
        <v>26</v>
      </c>
      <c r="E113" s="11" t="s">
        <v>277</v>
      </c>
      <c r="F113" s="11" t="s">
        <v>52</v>
      </c>
      <c r="G113" s="13">
        <v>16398</v>
      </c>
      <c r="H113" s="14">
        <v>97.251999999999995</v>
      </c>
      <c r="I113" s="14">
        <v>97.376999999999995</v>
      </c>
    </row>
    <row r="114" spans="1:9" x14ac:dyDescent="0.3">
      <c r="A114" s="11" t="s">
        <v>278</v>
      </c>
      <c r="B114" s="12">
        <v>46293</v>
      </c>
      <c r="C114" s="11" t="s">
        <v>50</v>
      </c>
      <c r="D114" s="11" t="s">
        <v>25</v>
      </c>
      <c r="E114" s="11" t="s">
        <v>279</v>
      </c>
      <c r="F114" s="11" t="s">
        <v>52</v>
      </c>
      <c r="G114" s="13">
        <v>11983</v>
      </c>
      <c r="H114" s="14">
        <v>96.540999999999997</v>
      </c>
      <c r="I114" s="14">
        <v>97.134</v>
      </c>
    </row>
    <row r="115" spans="1:9" x14ac:dyDescent="0.3">
      <c r="A115" s="11" t="s">
        <v>280</v>
      </c>
      <c r="B115" s="12">
        <v>46293</v>
      </c>
      <c r="C115" s="11" t="s">
        <v>43</v>
      </c>
      <c r="D115" s="11" t="s">
        <v>27</v>
      </c>
      <c r="E115" s="11" t="s">
        <v>281</v>
      </c>
      <c r="F115" s="11" t="s">
        <v>41</v>
      </c>
      <c r="G115" s="13">
        <v>511412</v>
      </c>
      <c r="H115" s="14">
        <v>0.60809999999999997</v>
      </c>
      <c r="I115" s="14">
        <v>0.60568999999999995</v>
      </c>
    </row>
    <row r="116" spans="1:9" x14ac:dyDescent="0.3">
      <c r="A116" s="11" t="s">
        <v>282</v>
      </c>
      <c r="B116" s="12">
        <v>46293</v>
      </c>
      <c r="C116" s="11" t="s">
        <v>96</v>
      </c>
      <c r="D116" s="11" t="s">
        <v>26</v>
      </c>
      <c r="E116" s="11" t="s">
        <v>283</v>
      </c>
      <c r="F116" s="11" t="s">
        <v>52</v>
      </c>
      <c r="G116" s="13">
        <v>3660</v>
      </c>
      <c r="H116" s="14">
        <v>103.581</v>
      </c>
      <c r="I116" s="14">
        <v>103.562</v>
      </c>
    </row>
    <row r="117" spans="1:9" x14ac:dyDescent="0.3">
      <c r="A117" s="11" t="s">
        <v>284</v>
      </c>
      <c r="B117" s="12">
        <v>46293</v>
      </c>
      <c r="C117" s="11" t="s">
        <v>43</v>
      </c>
      <c r="D117" s="11" t="s">
        <v>27</v>
      </c>
      <c r="E117" s="11" t="s">
        <v>285</v>
      </c>
      <c r="F117" s="11" t="s">
        <v>41</v>
      </c>
      <c r="G117" s="13">
        <v>2799264</v>
      </c>
      <c r="H117" s="14">
        <v>1.0553399999999999</v>
      </c>
      <c r="I117" s="14">
        <v>1.05474</v>
      </c>
    </row>
    <row r="118" spans="1:9" x14ac:dyDescent="0.3">
      <c r="A118" s="11" t="s">
        <v>286</v>
      </c>
      <c r="B118" s="12">
        <v>46293</v>
      </c>
      <c r="C118" s="11" t="s">
        <v>96</v>
      </c>
      <c r="D118" s="11" t="s">
        <v>26</v>
      </c>
      <c r="E118" s="11" t="s">
        <v>287</v>
      </c>
      <c r="F118" s="11" t="s">
        <v>52</v>
      </c>
      <c r="G118" s="13">
        <v>13464</v>
      </c>
      <c r="H118" s="14">
        <v>102.206</v>
      </c>
      <c r="I118" s="14">
        <v>102.07599999999999</v>
      </c>
    </row>
    <row r="119" spans="1:9" x14ac:dyDescent="0.3">
      <c r="A119" s="11" t="s">
        <v>288</v>
      </c>
      <c r="B119" s="12">
        <v>46293</v>
      </c>
      <c r="C119" s="11" t="s">
        <v>46</v>
      </c>
      <c r="D119" s="11" t="s">
        <v>25</v>
      </c>
      <c r="E119" s="11" t="s">
        <v>289</v>
      </c>
      <c r="F119" s="11" t="s">
        <v>48</v>
      </c>
      <c r="G119" s="13">
        <v>14248</v>
      </c>
      <c r="H119" s="14">
        <v>99.77</v>
      </c>
      <c r="I119" s="14">
        <v>100.05500000000001</v>
      </c>
    </row>
    <row r="120" spans="1:9" x14ac:dyDescent="0.3">
      <c r="A120" s="11" t="s">
        <v>290</v>
      </c>
      <c r="B120" s="12">
        <v>46293</v>
      </c>
      <c r="C120" s="11" t="s">
        <v>77</v>
      </c>
      <c r="D120" s="11" t="s">
        <v>26</v>
      </c>
      <c r="E120" s="11" t="s">
        <v>291</v>
      </c>
      <c r="F120" s="11" t="s">
        <v>48</v>
      </c>
      <c r="G120" s="13">
        <v>10440</v>
      </c>
      <c r="H120" s="14">
        <v>96.260999999999996</v>
      </c>
      <c r="I120" s="14">
        <v>96.180999999999997</v>
      </c>
    </row>
    <row r="121" spans="1:9" x14ac:dyDescent="0.3">
      <c r="A121" s="11" t="s">
        <v>292</v>
      </c>
      <c r="B121" s="12">
        <v>46293</v>
      </c>
      <c r="C121" s="11" t="s">
        <v>96</v>
      </c>
      <c r="D121" s="11" t="s">
        <v>26</v>
      </c>
      <c r="E121" s="11" t="s">
        <v>293</v>
      </c>
      <c r="F121" s="11" t="s">
        <v>52</v>
      </c>
      <c r="G121" s="13">
        <v>19544</v>
      </c>
      <c r="H121" s="14">
        <v>102.37</v>
      </c>
      <c r="I121" s="14">
        <v>102.437</v>
      </c>
    </row>
    <row r="122" spans="1:9" x14ac:dyDescent="0.3">
      <c r="A122" s="11" t="s">
        <v>294</v>
      </c>
      <c r="B122" s="12">
        <v>46293</v>
      </c>
      <c r="C122" s="11" t="s">
        <v>46</v>
      </c>
      <c r="D122" s="11" t="s">
        <v>25</v>
      </c>
      <c r="E122" s="11" t="s">
        <v>295</v>
      </c>
      <c r="F122" s="11" t="s">
        <v>48</v>
      </c>
      <c r="G122" s="13">
        <v>4753</v>
      </c>
      <c r="H122" s="14">
        <v>94.685000000000002</v>
      </c>
      <c r="I122" s="14">
        <v>94.992999999999995</v>
      </c>
    </row>
    <row r="123" spans="1:9" x14ac:dyDescent="0.3">
      <c r="A123" s="11" t="s">
        <v>296</v>
      </c>
      <c r="B123" s="12">
        <v>46293</v>
      </c>
      <c r="C123" s="11" t="s">
        <v>60</v>
      </c>
      <c r="D123" s="11" t="s">
        <v>24</v>
      </c>
      <c r="E123" s="11" t="s">
        <v>297</v>
      </c>
      <c r="F123" s="11" t="s">
        <v>56</v>
      </c>
      <c r="G123" s="13">
        <v>16576</v>
      </c>
      <c r="H123" s="14">
        <v>127.73</v>
      </c>
      <c r="I123" s="14">
        <v>128.32</v>
      </c>
    </row>
    <row r="124" spans="1:9" x14ac:dyDescent="0.3">
      <c r="A124" s="11" t="s">
        <v>298</v>
      </c>
      <c r="B124" s="12">
        <v>46293</v>
      </c>
      <c r="C124" s="11" t="s">
        <v>39</v>
      </c>
      <c r="D124" s="11" t="s">
        <v>24</v>
      </c>
      <c r="E124" s="11" t="s">
        <v>299</v>
      </c>
      <c r="F124" s="11" t="s">
        <v>41</v>
      </c>
      <c r="G124" s="13">
        <v>10438</v>
      </c>
      <c r="H124" s="14">
        <v>266.64</v>
      </c>
      <c r="I124" s="14">
        <v>265.70999999999998</v>
      </c>
    </row>
    <row r="125" spans="1:9" x14ac:dyDescent="0.3">
      <c r="A125" s="11" t="s">
        <v>300</v>
      </c>
      <c r="B125" s="12">
        <v>46293</v>
      </c>
      <c r="C125" s="11" t="s">
        <v>96</v>
      </c>
      <c r="D125" s="11" t="s">
        <v>26</v>
      </c>
      <c r="E125" s="11" t="s">
        <v>301</v>
      </c>
      <c r="F125" s="11" t="s">
        <v>52</v>
      </c>
      <c r="G125" s="13">
        <v>8874</v>
      </c>
      <c r="H125" s="14">
        <v>97.930999999999997</v>
      </c>
      <c r="I125" s="14">
        <v>98.034999999999997</v>
      </c>
    </row>
    <row r="126" spans="1:9" x14ac:dyDescent="0.3">
      <c r="A126" s="11" t="s">
        <v>302</v>
      </c>
      <c r="B126" s="12">
        <v>46290</v>
      </c>
      <c r="C126" s="11" t="s">
        <v>96</v>
      </c>
      <c r="D126" s="11" t="s">
        <v>26</v>
      </c>
      <c r="E126" s="11" t="s">
        <v>303</v>
      </c>
      <c r="F126" s="11" t="s">
        <v>52</v>
      </c>
      <c r="G126" s="13">
        <v>2786</v>
      </c>
      <c r="H126" s="14">
        <v>98.194000000000003</v>
      </c>
      <c r="I126" s="14">
        <v>98.179000000000002</v>
      </c>
    </row>
    <row r="127" spans="1:9" x14ac:dyDescent="0.3">
      <c r="A127" s="11" t="s">
        <v>304</v>
      </c>
      <c r="B127" s="12">
        <v>46293</v>
      </c>
      <c r="C127" s="11" t="s">
        <v>46</v>
      </c>
      <c r="D127" s="11" t="s">
        <v>25</v>
      </c>
      <c r="E127" s="11" t="s">
        <v>305</v>
      </c>
      <c r="F127" s="11" t="s">
        <v>48</v>
      </c>
      <c r="G127" s="13">
        <v>14730</v>
      </c>
      <c r="H127" s="14">
        <v>104.056</v>
      </c>
      <c r="I127" s="14">
        <v>103.66800000000001</v>
      </c>
    </row>
    <row r="128" spans="1:9" x14ac:dyDescent="0.3">
      <c r="A128" s="11" t="s">
        <v>306</v>
      </c>
      <c r="B128" s="12">
        <v>46293</v>
      </c>
      <c r="C128" s="11" t="s">
        <v>54</v>
      </c>
      <c r="D128" s="11" t="s">
        <v>27</v>
      </c>
      <c r="E128" s="11" t="s">
        <v>307</v>
      </c>
      <c r="F128" s="11" t="s">
        <v>56</v>
      </c>
      <c r="G128" s="13">
        <v>2510709</v>
      </c>
      <c r="H128" s="14">
        <v>1.21746</v>
      </c>
      <c r="I128" s="14">
        <v>1.2172000000000001</v>
      </c>
    </row>
    <row r="129" spans="1:9" x14ac:dyDescent="0.3">
      <c r="A129" s="11" t="s">
        <v>308</v>
      </c>
      <c r="B129" s="12">
        <v>46293</v>
      </c>
      <c r="C129" s="11" t="s">
        <v>46</v>
      </c>
      <c r="D129" s="11" t="s">
        <v>25</v>
      </c>
      <c r="E129" s="11" t="s">
        <v>309</v>
      </c>
      <c r="F129" s="11" t="s">
        <v>48</v>
      </c>
      <c r="G129" s="13">
        <v>19893</v>
      </c>
      <c r="H129" s="14">
        <v>101.699</v>
      </c>
      <c r="I129" s="14">
        <v>101.95</v>
      </c>
    </row>
    <row r="130" spans="1:9" x14ac:dyDescent="0.3">
      <c r="A130" s="11" t="s">
        <v>310</v>
      </c>
      <c r="B130" s="12">
        <v>46293</v>
      </c>
      <c r="C130" s="11" t="s">
        <v>60</v>
      </c>
      <c r="D130" s="11" t="s">
        <v>24</v>
      </c>
      <c r="E130" s="11" t="s">
        <v>311</v>
      </c>
      <c r="F130" s="11" t="s">
        <v>56</v>
      </c>
      <c r="G130" s="13">
        <v>10759</v>
      </c>
      <c r="H130" s="14">
        <v>126.44</v>
      </c>
      <c r="I130" s="14">
        <v>127.6</v>
      </c>
    </row>
    <row r="131" spans="1:9" x14ac:dyDescent="0.3">
      <c r="A131" s="11" t="s">
        <v>312</v>
      </c>
      <c r="B131" s="12">
        <v>46293</v>
      </c>
      <c r="C131" s="11" t="s">
        <v>60</v>
      </c>
      <c r="D131" s="11" t="s">
        <v>24</v>
      </c>
      <c r="E131" s="11" t="s">
        <v>313</v>
      </c>
      <c r="F131" s="11" t="s">
        <v>56</v>
      </c>
      <c r="G131" s="13">
        <v>22398</v>
      </c>
      <c r="H131" s="14">
        <v>215.48</v>
      </c>
      <c r="I131" s="14">
        <v>216.53</v>
      </c>
    </row>
    <row r="132" spans="1:9" x14ac:dyDescent="0.3">
      <c r="A132" s="11" t="s">
        <v>314</v>
      </c>
      <c r="B132" s="12">
        <v>46293</v>
      </c>
      <c r="C132" s="11" t="s">
        <v>60</v>
      </c>
      <c r="D132" s="11" t="s">
        <v>24</v>
      </c>
      <c r="E132" s="11" t="s">
        <v>315</v>
      </c>
      <c r="F132" s="11" t="s">
        <v>56</v>
      </c>
      <c r="G132" s="13">
        <v>10999</v>
      </c>
      <c r="H132" s="14">
        <v>291.32</v>
      </c>
      <c r="I132" s="14"/>
    </row>
    <row r="133" spans="1:9" x14ac:dyDescent="0.3">
      <c r="A133" s="11" t="s">
        <v>316</v>
      </c>
      <c r="B133" s="12">
        <v>46293</v>
      </c>
      <c r="C133" s="11" t="s">
        <v>77</v>
      </c>
      <c r="D133" s="11" t="s">
        <v>26</v>
      </c>
      <c r="E133" s="11" t="s">
        <v>317</v>
      </c>
      <c r="F133" s="11" t="s">
        <v>48</v>
      </c>
      <c r="G133" s="13">
        <v>14488</v>
      </c>
      <c r="H133" s="14">
        <v>98.567999999999998</v>
      </c>
      <c r="I133" s="14">
        <v>98.522000000000006</v>
      </c>
    </row>
    <row r="134" spans="1:9" x14ac:dyDescent="0.3">
      <c r="A134" s="11" t="s">
        <v>318</v>
      </c>
      <c r="B134" s="12">
        <v>46293</v>
      </c>
      <c r="C134" s="11" t="s">
        <v>77</v>
      </c>
      <c r="D134" s="11" t="s">
        <v>26</v>
      </c>
      <c r="E134" s="11" t="s">
        <v>319</v>
      </c>
      <c r="F134" s="11" t="s">
        <v>48</v>
      </c>
      <c r="G134" s="13">
        <v>9794</v>
      </c>
      <c r="H134" s="14">
        <v>102.60599999999999</v>
      </c>
      <c r="I134" s="14">
        <v>102.69199999999999</v>
      </c>
    </row>
    <row r="135" spans="1:9" x14ac:dyDescent="0.3">
      <c r="A135" s="11" t="s">
        <v>320</v>
      </c>
      <c r="B135" s="12">
        <v>46293</v>
      </c>
      <c r="C135" s="11" t="s">
        <v>77</v>
      </c>
      <c r="D135" s="11" t="s">
        <v>26</v>
      </c>
      <c r="E135" s="11" t="s">
        <v>321</v>
      </c>
      <c r="F135" s="11" t="s">
        <v>48</v>
      </c>
      <c r="G135" s="13">
        <v>8501</v>
      </c>
      <c r="H135" s="14">
        <v>96.206999999999994</v>
      </c>
      <c r="I135" s="14">
        <v>96.182000000000002</v>
      </c>
    </row>
    <row r="136" spans="1:9" x14ac:dyDescent="0.3">
      <c r="A136" s="11" t="s">
        <v>322</v>
      </c>
      <c r="B136" s="12">
        <v>46293</v>
      </c>
      <c r="C136" s="11" t="s">
        <v>39</v>
      </c>
      <c r="D136" s="11" t="s">
        <v>24</v>
      </c>
      <c r="E136" s="11" t="s">
        <v>323</v>
      </c>
      <c r="F136" s="11" t="s">
        <v>41</v>
      </c>
      <c r="G136" s="13">
        <v>42924</v>
      </c>
      <c r="H136" s="14">
        <v>135.11000000000001</v>
      </c>
      <c r="I136" s="14">
        <v>134.96</v>
      </c>
    </row>
    <row r="137" spans="1:9" x14ac:dyDescent="0.3">
      <c r="A137" s="11" t="s">
        <v>324</v>
      </c>
      <c r="B137" s="12">
        <v>46293</v>
      </c>
      <c r="C137" s="11" t="s">
        <v>60</v>
      </c>
      <c r="D137" s="11" t="s">
        <v>24</v>
      </c>
      <c r="E137" s="11" t="s">
        <v>325</v>
      </c>
      <c r="F137" s="11" t="s">
        <v>56</v>
      </c>
      <c r="G137" s="13">
        <v>4901</v>
      </c>
      <c r="H137" s="14">
        <v>148.32</v>
      </c>
      <c r="I137" s="14">
        <v>145.88999999999999</v>
      </c>
    </row>
    <row r="138" spans="1:9" x14ac:dyDescent="0.3">
      <c r="A138" s="11" t="s">
        <v>326</v>
      </c>
      <c r="B138" s="12">
        <v>46293</v>
      </c>
      <c r="C138" s="11" t="s">
        <v>54</v>
      </c>
      <c r="D138" s="11" t="s">
        <v>27</v>
      </c>
      <c r="E138" s="11" t="s">
        <v>327</v>
      </c>
      <c r="F138" s="11" t="s">
        <v>56</v>
      </c>
      <c r="G138" s="13">
        <v>2609487</v>
      </c>
      <c r="H138" s="14">
        <v>0.67386000000000001</v>
      </c>
      <c r="I138" s="14">
        <v>0.67105000000000004</v>
      </c>
    </row>
    <row r="139" spans="1:9" x14ac:dyDescent="0.3">
      <c r="A139" s="11" t="s">
        <v>328</v>
      </c>
      <c r="B139" s="12">
        <v>46293</v>
      </c>
      <c r="C139" s="11" t="s">
        <v>60</v>
      </c>
      <c r="D139" s="11" t="s">
        <v>24</v>
      </c>
      <c r="E139" s="11" t="s">
        <v>329</v>
      </c>
      <c r="F139" s="11" t="s">
        <v>56</v>
      </c>
      <c r="G139" s="13">
        <v>16143</v>
      </c>
      <c r="H139" s="14">
        <v>169.56</v>
      </c>
      <c r="I139" s="14">
        <v>169.86</v>
      </c>
    </row>
    <row r="140" spans="1:9" x14ac:dyDescent="0.3">
      <c r="A140" s="11" t="s">
        <v>330</v>
      </c>
      <c r="B140" s="12">
        <v>46293</v>
      </c>
      <c r="C140" s="11" t="s">
        <v>50</v>
      </c>
      <c r="D140" s="11" t="s">
        <v>25</v>
      </c>
      <c r="E140" s="11" t="s">
        <v>331</v>
      </c>
      <c r="F140" s="11" t="s">
        <v>52</v>
      </c>
      <c r="G140" s="13">
        <v>4542</v>
      </c>
      <c r="H140" s="14">
        <v>104.598</v>
      </c>
      <c r="I140" s="14">
        <v>104.959</v>
      </c>
    </row>
    <row r="141" spans="1:9" x14ac:dyDescent="0.3">
      <c r="A141" s="11" t="s">
        <v>332</v>
      </c>
      <c r="B141" s="12">
        <v>46293</v>
      </c>
      <c r="C141" s="11" t="s">
        <v>50</v>
      </c>
      <c r="D141" s="11" t="s">
        <v>25</v>
      </c>
      <c r="E141" s="11" t="s">
        <v>333</v>
      </c>
      <c r="F141" s="11" t="s">
        <v>52</v>
      </c>
      <c r="G141" s="13">
        <v>9396</v>
      </c>
      <c r="H141" s="14">
        <v>99.441000000000003</v>
      </c>
      <c r="I141" s="14">
        <v>99.161000000000001</v>
      </c>
    </row>
    <row r="142" spans="1:9" x14ac:dyDescent="0.3">
      <c r="A142" s="11" t="s">
        <v>334</v>
      </c>
      <c r="B142" s="12">
        <v>46293</v>
      </c>
      <c r="C142" s="11" t="s">
        <v>77</v>
      </c>
      <c r="D142" s="11" t="s">
        <v>26</v>
      </c>
      <c r="E142" s="11" t="s">
        <v>335</v>
      </c>
      <c r="F142" s="11" t="s">
        <v>48</v>
      </c>
      <c r="G142" s="13">
        <v>14764</v>
      </c>
      <c r="H142" s="14">
        <v>96.100999999999999</v>
      </c>
      <c r="I142" s="14">
        <v>96.061000000000007</v>
      </c>
    </row>
    <row r="143" spans="1:9" x14ac:dyDescent="0.3">
      <c r="A143" s="11" t="s">
        <v>336</v>
      </c>
      <c r="B143" s="12">
        <v>46293</v>
      </c>
      <c r="C143" s="11" t="s">
        <v>46</v>
      </c>
      <c r="D143" s="11" t="s">
        <v>25</v>
      </c>
      <c r="E143" s="11" t="s">
        <v>337</v>
      </c>
      <c r="F143" s="11" t="s">
        <v>48</v>
      </c>
      <c r="G143" s="13">
        <v>16083</v>
      </c>
      <c r="H143" s="14">
        <v>105.955</v>
      </c>
      <c r="I143" s="14">
        <v>105.837</v>
      </c>
    </row>
    <row r="144" spans="1:9" x14ac:dyDescent="0.3">
      <c r="A144" s="11" t="s">
        <v>338</v>
      </c>
      <c r="B144" s="12">
        <v>46293</v>
      </c>
      <c r="C144" s="11" t="s">
        <v>96</v>
      </c>
      <c r="D144" s="11" t="s">
        <v>26</v>
      </c>
      <c r="E144" s="11" t="s">
        <v>339</v>
      </c>
      <c r="F144" s="11" t="s">
        <v>52</v>
      </c>
      <c r="G144" s="13">
        <v>9465</v>
      </c>
      <c r="H144" s="14">
        <v>98.838999999999999</v>
      </c>
      <c r="I144" s="14">
        <v>98.835999999999999</v>
      </c>
    </row>
    <row r="145" spans="1:9" x14ac:dyDescent="0.3">
      <c r="A145" s="11" t="s">
        <v>340</v>
      </c>
      <c r="B145" s="12">
        <v>46293</v>
      </c>
      <c r="C145" s="11" t="s">
        <v>96</v>
      </c>
      <c r="D145" s="11" t="s">
        <v>341</v>
      </c>
      <c r="E145" s="11" t="s">
        <v>342</v>
      </c>
      <c r="F145" s="11" t="s">
        <v>52</v>
      </c>
      <c r="G145" s="13">
        <v>2756</v>
      </c>
      <c r="H145" s="14">
        <v>102.577</v>
      </c>
      <c r="I145" s="14">
        <v>102.61</v>
      </c>
    </row>
    <row r="146" spans="1:9" x14ac:dyDescent="0.3">
      <c r="A146" s="11" t="s">
        <v>343</v>
      </c>
      <c r="B146" s="12">
        <v>46293</v>
      </c>
      <c r="C146" s="11" t="s">
        <v>50</v>
      </c>
      <c r="D146" s="11" t="s">
        <v>344</v>
      </c>
      <c r="E146" s="11" t="s">
        <v>345</v>
      </c>
      <c r="F146" s="11" t="s">
        <v>52</v>
      </c>
      <c r="G146" s="13">
        <v>2514</v>
      </c>
      <c r="H146" s="14">
        <v>94.358000000000004</v>
      </c>
      <c r="I146" s="14">
        <v>94.712000000000003</v>
      </c>
    </row>
    <row r="147" spans="1:9" x14ac:dyDescent="0.3">
      <c r="A147" s="11" t="s">
        <v>346</v>
      </c>
      <c r="B147" s="12">
        <v>46293</v>
      </c>
      <c r="C147" s="11" t="s">
        <v>39</v>
      </c>
      <c r="D147" s="11" t="s">
        <v>24</v>
      </c>
      <c r="E147" s="11" t="s">
        <v>347</v>
      </c>
      <c r="F147" s="11" t="s">
        <v>41</v>
      </c>
      <c r="G147" s="13">
        <v>14108</v>
      </c>
      <c r="H147" s="14">
        <v>155.97999999999999</v>
      </c>
      <c r="I147" s="14">
        <v>156.66</v>
      </c>
    </row>
    <row r="148" spans="1:9" x14ac:dyDescent="0.3">
      <c r="A148" s="11" t="s">
        <v>348</v>
      </c>
      <c r="B148" s="12">
        <v>46293</v>
      </c>
      <c r="C148" s="11" t="s">
        <v>77</v>
      </c>
      <c r="D148" s="11" t="s">
        <v>26</v>
      </c>
      <c r="E148" s="11" t="s">
        <v>349</v>
      </c>
      <c r="F148" s="11" t="s">
        <v>48</v>
      </c>
      <c r="G148" s="13">
        <v>2683</v>
      </c>
      <c r="H148" s="14">
        <v>99.754999999999995</v>
      </c>
      <c r="I148" s="14">
        <v>99.813999999999993</v>
      </c>
    </row>
    <row r="149" spans="1:9" x14ac:dyDescent="0.3">
      <c r="A149" s="11" t="s">
        <v>350</v>
      </c>
      <c r="B149" s="12">
        <v>46293</v>
      </c>
      <c r="C149" s="11" t="s">
        <v>43</v>
      </c>
      <c r="D149" s="11" t="s">
        <v>243</v>
      </c>
      <c r="E149" s="11" t="s">
        <v>351</v>
      </c>
      <c r="F149" s="11" t="s">
        <v>41</v>
      </c>
      <c r="G149" s="13">
        <v>2030372</v>
      </c>
      <c r="H149" s="14">
        <v>1.4328399999999999</v>
      </c>
      <c r="I149" s="14">
        <v>1.4298</v>
      </c>
    </row>
    <row r="150" spans="1:9" x14ac:dyDescent="0.3">
      <c r="A150" s="11" t="s">
        <v>352</v>
      </c>
      <c r="B150" s="12">
        <v>46293</v>
      </c>
      <c r="C150" s="11" t="s">
        <v>60</v>
      </c>
      <c r="D150" s="11" t="s">
        <v>24</v>
      </c>
      <c r="E150" s="11" t="s">
        <v>353</v>
      </c>
      <c r="F150" s="11" t="s">
        <v>56</v>
      </c>
      <c r="G150" s="13">
        <v>8780</v>
      </c>
      <c r="H150" s="14">
        <v>161.65</v>
      </c>
      <c r="I150" s="14"/>
    </row>
    <row r="151" spans="1:9" x14ac:dyDescent="0.3">
      <c r="A151" s="11" t="s">
        <v>354</v>
      </c>
      <c r="B151" s="12">
        <v>46293</v>
      </c>
      <c r="C151" s="11" t="s">
        <v>77</v>
      </c>
      <c r="D151" s="11" t="s">
        <v>26</v>
      </c>
      <c r="E151" s="11" t="s">
        <v>355</v>
      </c>
      <c r="F151" s="11" t="s">
        <v>48</v>
      </c>
      <c r="G151" s="13">
        <v>11339</v>
      </c>
      <c r="H151" s="14">
        <v>98.453000000000003</v>
      </c>
      <c r="I151" s="14">
        <v>98.433999999999997</v>
      </c>
    </row>
    <row r="152" spans="1:9" x14ac:dyDescent="0.3">
      <c r="A152" s="11" t="s">
        <v>356</v>
      </c>
      <c r="B152" s="12">
        <v>46293</v>
      </c>
      <c r="C152" s="11" t="s">
        <v>46</v>
      </c>
      <c r="D152" s="11" t="s">
        <v>25</v>
      </c>
      <c r="E152" s="11" t="s">
        <v>357</v>
      </c>
      <c r="F152" s="11" t="s">
        <v>48</v>
      </c>
      <c r="G152" s="13">
        <v>10362</v>
      </c>
      <c r="H152" s="14">
        <v>93.24</v>
      </c>
      <c r="I152" s="14">
        <v>93.284000000000006</v>
      </c>
    </row>
    <row r="153" spans="1:9" x14ac:dyDescent="0.3">
      <c r="A153" s="11" t="s">
        <v>358</v>
      </c>
      <c r="B153" s="12">
        <v>46293</v>
      </c>
      <c r="C153" s="11" t="s">
        <v>60</v>
      </c>
      <c r="D153" s="11" t="s">
        <v>24</v>
      </c>
      <c r="E153" s="11" t="s">
        <v>359</v>
      </c>
      <c r="F153" s="11" t="s">
        <v>56</v>
      </c>
      <c r="G153" s="13">
        <v>27766</v>
      </c>
      <c r="H153" s="14">
        <v>241.78</v>
      </c>
      <c r="I153" s="14">
        <v>241.61</v>
      </c>
    </row>
    <row r="154" spans="1:9" x14ac:dyDescent="0.3">
      <c r="A154" s="11" t="s">
        <v>360</v>
      </c>
      <c r="B154" s="12">
        <v>46293</v>
      </c>
      <c r="C154" s="11" t="s">
        <v>54</v>
      </c>
      <c r="D154" s="11" t="s">
        <v>27</v>
      </c>
      <c r="E154" s="11" t="s">
        <v>361</v>
      </c>
      <c r="F154" s="11" t="s">
        <v>56</v>
      </c>
      <c r="G154" s="13">
        <v>2120226</v>
      </c>
      <c r="H154" s="14">
        <v>0.76998</v>
      </c>
      <c r="I154" s="14">
        <v>0.76793</v>
      </c>
    </row>
    <row r="155" spans="1:9" x14ac:dyDescent="0.3">
      <c r="A155" s="11" t="s">
        <v>362</v>
      </c>
      <c r="B155" s="12">
        <v>46293</v>
      </c>
      <c r="C155" s="11" t="s">
        <v>60</v>
      </c>
      <c r="D155" s="11" t="s">
        <v>24</v>
      </c>
      <c r="E155" s="11" t="s">
        <v>363</v>
      </c>
      <c r="F155" s="11" t="s">
        <v>56</v>
      </c>
      <c r="G155" s="13">
        <v>26248</v>
      </c>
      <c r="H155" s="14">
        <v>219.63</v>
      </c>
      <c r="I155" s="14">
        <v>220.46</v>
      </c>
    </row>
    <row r="156" spans="1:9" x14ac:dyDescent="0.3">
      <c r="A156" s="11" t="s">
        <v>364</v>
      </c>
      <c r="B156" s="12">
        <v>46293</v>
      </c>
      <c r="C156" s="11" t="s">
        <v>96</v>
      </c>
      <c r="D156" s="11" t="s">
        <v>26</v>
      </c>
      <c r="E156" s="11" t="s">
        <v>365</v>
      </c>
      <c r="F156" s="11" t="s">
        <v>52</v>
      </c>
      <c r="G156" s="13">
        <v>10882</v>
      </c>
      <c r="H156" s="14">
        <v>100.73699999999999</v>
      </c>
      <c r="I156" s="14"/>
    </row>
    <row r="157" spans="1:9" x14ac:dyDescent="0.3">
      <c r="A157" s="11" t="s">
        <v>366</v>
      </c>
      <c r="B157" s="12">
        <v>46293</v>
      </c>
      <c r="C157" s="11" t="s">
        <v>50</v>
      </c>
      <c r="D157" s="11" t="s">
        <v>25</v>
      </c>
      <c r="E157" s="11" t="s">
        <v>367</v>
      </c>
      <c r="F157" s="11" t="s">
        <v>52</v>
      </c>
      <c r="G157" s="13">
        <v>10861</v>
      </c>
      <c r="H157" s="14">
        <v>101.848</v>
      </c>
      <c r="I157" s="14">
        <v>101.904</v>
      </c>
    </row>
    <row r="158" spans="1:9" x14ac:dyDescent="0.3">
      <c r="A158" s="11" t="s">
        <v>368</v>
      </c>
      <c r="B158" s="12">
        <v>46293</v>
      </c>
      <c r="C158" s="11" t="s">
        <v>54</v>
      </c>
      <c r="D158" s="11" t="s">
        <v>27</v>
      </c>
      <c r="E158" s="11" t="s">
        <v>369</v>
      </c>
      <c r="F158" s="11" t="s">
        <v>56</v>
      </c>
      <c r="G158" s="13">
        <v>3740416</v>
      </c>
      <c r="H158" s="14">
        <v>1.34677</v>
      </c>
      <c r="I158" s="14">
        <v>1.34372</v>
      </c>
    </row>
    <row r="159" spans="1:9" x14ac:dyDescent="0.3">
      <c r="A159" s="11" t="s">
        <v>370</v>
      </c>
      <c r="B159" s="12">
        <v>46293</v>
      </c>
      <c r="C159" s="11" t="s">
        <v>77</v>
      </c>
      <c r="D159" s="11" t="s">
        <v>26</v>
      </c>
      <c r="E159" s="11" t="s">
        <v>371</v>
      </c>
      <c r="F159" s="11" t="s">
        <v>48</v>
      </c>
      <c r="G159" s="13">
        <v>17180</v>
      </c>
      <c r="H159" s="14">
        <v>100.004</v>
      </c>
      <c r="I159" s="14">
        <v>99.986999999999995</v>
      </c>
    </row>
    <row r="160" spans="1:9" x14ac:dyDescent="0.3">
      <c r="A160" s="11" t="s">
        <v>372</v>
      </c>
      <c r="B160" s="12">
        <v>46293</v>
      </c>
      <c r="C160" s="11" t="s">
        <v>77</v>
      </c>
      <c r="D160" s="11" t="s">
        <v>373</v>
      </c>
      <c r="E160" s="11" t="s">
        <v>374</v>
      </c>
      <c r="F160" s="11" t="s">
        <v>48</v>
      </c>
      <c r="G160" s="13">
        <v>11561</v>
      </c>
      <c r="H160" s="14">
        <v>96.644000000000005</v>
      </c>
      <c r="I160" s="14">
        <v>96.545000000000002</v>
      </c>
    </row>
    <row r="161" spans="1:9" x14ac:dyDescent="0.3">
      <c r="A161" s="11" t="s">
        <v>375</v>
      </c>
      <c r="B161" s="12">
        <v>46293</v>
      </c>
      <c r="C161" s="11" t="s">
        <v>46</v>
      </c>
      <c r="D161" s="11" t="s">
        <v>25</v>
      </c>
      <c r="E161" s="11" t="s">
        <v>376</v>
      </c>
      <c r="F161" s="11" t="s">
        <v>48</v>
      </c>
      <c r="G161" s="13">
        <v>11278</v>
      </c>
      <c r="H161" s="14">
        <v>103.657</v>
      </c>
      <c r="I161" s="14">
        <v>103.664</v>
      </c>
    </row>
    <row r="162" spans="1:9" x14ac:dyDescent="0.3">
      <c r="A162" s="11" t="s">
        <v>377</v>
      </c>
      <c r="B162" s="12">
        <v>46293</v>
      </c>
      <c r="C162" s="11" t="s">
        <v>60</v>
      </c>
      <c r="D162" s="11" t="s">
        <v>195</v>
      </c>
      <c r="E162" s="11" t="s">
        <v>378</v>
      </c>
      <c r="F162" s="11" t="s">
        <v>56</v>
      </c>
      <c r="G162" s="13">
        <v>20253</v>
      </c>
      <c r="H162" s="14">
        <v>51.32</v>
      </c>
      <c r="I162" s="14">
        <v>51.81</v>
      </c>
    </row>
    <row r="163" spans="1:9" x14ac:dyDescent="0.3">
      <c r="A163" s="11" t="s">
        <v>379</v>
      </c>
      <c r="B163" s="12">
        <v>46293</v>
      </c>
      <c r="C163" s="11" t="s">
        <v>96</v>
      </c>
      <c r="D163" s="11" t="s">
        <v>26</v>
      </c>
      <c r="E163" s="11" t="s">
        <v>380</v>
      </c>
      <c r="F163" s="11" t="s">
        <v>52</v>
      </c>
      <c r="G163" s="13">
        <v>2318</v>
      </c>
      <c r="H163" s="14">
        <v>103.997</v>
      </c>
      <c r="I163" s="14">
        <v>104.036</v>
      </c>
    </row>
    <row r="164" spans="1:9" x14ac:dyDescent="0.3">
      <c r="A164" s="11" t="s">
        <v>381</v>
      </c>
      <c r="B164" s="12">
        <v>46293</v>
      </c>
      <c r="C164" s="11" t="s">
        <v>60</v>
      </c>
      <c r="D164" s="11" t="s">
        <v>24</v>
      </c>
      <c r="E164" s="11" t="s">
        <v>382</v>
      </c>
      <c r="F164" s="11" t="s">
        <v>56</v>
      </c>
      <c r="G164" s="13">
        <v>49119</v>
      </c>
      <c r="H164" s="14">
        <v>291.24</v>
      </c>
      <c r="I164" s="14">
        <v>292.85000000000002</v>
      </c>
    </row>
    <row r="165" spans="1:9" x14ac:dyDescent="0.3">
      <c r="A165" s="11" t="s">
        <v>383</v>
      </c>
      <c r="B165" s="12">
        <v>46293</v>
      </c>
      <c r="C165" s="11" t="s">
        <v>39</v>
      </c>
      <c r="D165" s="11" t="s">
        <v>24</v>
      </c>
      <c r="E165" s="11" t="s">
        <v>384</v>
      </c>
      <c r="F165" s="11" t="s">
        <v>41</v>
      </c>
      <c r="G165" s="13">
        <v>41220</v>
      </c>
      <c r="H165" s="14">
        <v>45.45</v>
      </c>
      <c r="I165" s="14">
        <v>45.35</v>
      </c>
    </row>
    <row r="166" spans="1:9" x14ac:dyDescent="0.3">
      <c r="A166" s="11" t="s">
        <v>385</v>
      </c>
      <c r="B166" s="12">
        <v>46293</v>
      </c>
      <c r="C166" s="11" t="s">
        <v>77</v>
      </c>
      <c r="D166" s="11" t="s">
        <v>26</v>
      </c>
      <c r="E166" s="11" t="s">
        <v>386</v>
      </c>
      <c r="F166" s="11" t="s">
        <v>48</v>
      </c>
      <c r="G166" s="13">
        <v>15868</v>
      </c>
      <c r="H166" s="14">
        <v>98.813999999999993</v>
      </c>
      <c r="I166" s="14">
        <v>98.537999999999997</v>
      </c>
    </row>
    <row r="167" spans="1:9" x14ac:dyDescent="0.3">
      <c r="A167" s="11" t="s">
        <v>387</v>
      </c>
      <c r="B167" s="12">
        <v>46293</v>
      </c>
      <c r="C167" s="11" t="s">
        <v>50</v>
      </c>
      <c r="D167" s="11" t="s">
        <v>25</v>
      </c>
      <c r="E167" s="11" t="s">
        <v>388</v>
      </c>
      <c r="F167" s="11" t="s">
        <v>52</v>
      </c>
      <c r="G167" s="13">
        <v>5534</v>
      </c>
      <c r="H167" s="14">
        <v>96.346999999999994</v>
      </c>
      <c r="I167" s="14">
        <v>96.474999999999994</v>
      </c>
    </row>
    <row r="168" spans="1:9" x14ac:dyDescent="0.3">
      <c r="A168" s="11" t="s">
        <v>389</v>
      </c>
      <c r="B168" s="12">
        <v>46293</v>
      </c>
      <c r="C168" s="11" t="s">
        <v>77</v>
      </c>
      <c r="D168" s="11" t="s">
        <v>26</v>
      </c>
      <c r="E168" s="11" t="s">
        <v>390</v>
      </c>
      <c r="F168" s="11" t="s">
        <v>48</v>
      </c>
      <c r="G168" s="13">
        <v>16883</v>
      </c>
      <c r="H168" s="14">
        <v>100.39400000000001</v>
      </c>
      <c r="I168" s="14">
        <v>100.297</v>
      </c>
    </row>
    <row r="169" spans="1:9" x14ac:dyDescent="0.3">
      <c r="A169" s="11" t="s">
        <v>391</v>
      </c>
      <c r="B169" s="12">
        <v>46293</v>
      </c>
      <c r="C169" s="11" t="s">
        <v>60</v>
      </c>
      <c r="D169" s="11" t="s">
        <v>24</v>
      </c>
      <c r="E169" s="11" t="s">
        <v>392</v>
      </c>
      <c r="F169" s="11" t="s">
        <v>56</v>
      </c>
      <c r="G169" s="13">
        <v>41298</v>
      </c>
      <c r="H169" s="14">
        <v>174.57</v>
      </c>
      <c r="I169" s="14">
        <v>175.65</v>
      </c>
    </row>
    <row r="170" spans="1:9" x14ac:dyDescent="0.3">
      <c r="A170" s="11" t="s">
        <v>393</v>
      </c>
      <c r="B170" s="12">
        <v>46293</v>
      </c>
      <c r="C170" s="11" t="s">
        <v>39</v>
      </c>
      <c r="D170" s="11" t="s">
        <v>24</v>
      </c>
      <c r="E170" s="11" t="s">
        <v>394</v>
      </c>
      <c r="F170" s="11" t="s">
        <v>41</v>
      </c>
      <c r="G170" s="13">
        <v>15356</v>
      </c>
      <c r="H170" s="14">
        <v>295.86</v>
      </c>
      <c r="I170" s="14">
        <v>296.3</v>
      </c>
    </row>
    <row r="171" spans="1:9" x14ac:dyDescent="0.3">
      <c r="A171" s="11" t="s">
        <v>395</v>
      </c>
      <c r="B171" s="12">
        <v>46290</v>
      </c>
      <c r="C171" s="11" t="s">
        <v>60</v>
      </c>
      <c r="D171" s="11" t="s">
        <v>24</v>
      </c>
      <c r="E171" s="11" t="s">
        <v>396</v>
      </c>
      <c r="F171" s="11" t="s">
        <v>56</v>
      </c>
      <c r="G171" s="13">
        <v>37282</v>
      </c>
      <c r="H171" s="14">
        <v>36.22</v>
      </c>
      <c r="I171" s="14">
        <v>35.83</v>
      </c>
    </row>
    <row r="172" spans="1:9" x14ac:dyDescent="0.3">
      <c r="A172" s="11" t="s">
        <v>397</v>
      </c>
      <c r="B172" s="12">
        <v>46293</v>
      </c>
      <c r="C172" s="11" t="s">
        <v>54</v>
      </c>
      <c r="D172" s="11" t="s">
        <v>27</v>
      </c>
      <c r="E172" s="11" t="s">
        <v>398</v>
      </c>
      <c r="F172" s="11" t="s">
        <v>56</v>
      </c>
      <c r="G172" s="13">
        <v>2417331</v>
      </c>
      <c r="H172" s="14">
        <v>1.4640299999999999</v>
      </c>
      <c r="I172" s="14">
        <v>1.4629000000000001</v>
      </c>
    </row>
    <row r="173" spans="1:9" x14ac:dyDescent="0.3">
      <c r="A173" s="11" t="s">
        <v>399</v>
      </c>
      <c r="B173" s="12">
        <v>46293</v>
      </c>
      <c r="C173" s="11" t="s">
        <v>46</v>
      </c>
      <c r="D173" s="11" t="s">
        <v>25</v>
      </c>
      <c r="E173" s="11" t="s">
        <v>400</v>
      </c>
      <c r="F173" s="11" t="s">
        <v>48</v>
      </c>
      <c r="G173" s="13">
        <v>17617</v>
      </c>
      <c r="H173" s="14">
        <v>102.614</v>
      </c>
      <c r="I173" s="14">
        <v>103.32</v>
      </c>
    </row>
    <row r="174" spans="1:9" x14ac:dyDescent="0.3">
      <c r="A174" s="11" t="s">
        <v>401</v>
      </c>
      <c r="B174" s="12">
        <v>46293</v>
      </c>
      <c r="C174" s="11" t="s">
        <v>77</v>
      </c>
      <c r="D174" s="11" t="s">
        <v>26</v>
      </c>
      <c r="E174" s="11" t="s">
        <v>402</v>
      </c>
      <c r="F174" s="11" t="s">
        <v>48</v>
      </c>
      <c r="G174" s="13">
        <v>8972</v>
      </c>
      <c r="H174" s="14">
        <v>102.343</v>
      </c>
      <c r="I174" s="14">
        <v>102.283</v>
      </c>
    </row>
    <row r="175" spans="1:9" x14ac:dyDescent="0.3">
      <c r="A175" s="11" t="s">
        <v>403</v>
      </c>
      <c r="B175" s="12">
        <v>46293</v>
      </c>
      <c r="C175" s="11" t="s">
        <v>39</v>
      </c>
      <c r="D175" s="11" t="s">
        <v>24</v>
      </c>
      <c r="E175" s="11" t="s">
        <v>404</v>
      </c>
      <c r="F175" s="11" t="s">
        <v>41</v>
      </c>
      <c r="G175" s="13">
        <v>13903</v>
      </c>
      <c r="H175" s="14">
        <v>98.89</v>
      </c>
      <c r="I175" s="14">
        <v>99.41</v>
      </c>
    </row>
    <row r="176" spans="1:9" x14ac:dyDescent="0.3">
      <c r="A176" s="11" t="s">
        <v>405</v>
      </c>
      <c r="B176" s="12">
        <v>46293</v>
      </c>
      <c r="C176" s="11" t="s">
        <v>46</v>
      </c>
      <c r="D176" s="11" t="s">
        <v>25</v>
      </c>
      <c r="E176" s="11" t="s">
        <v>406</v>
      </c>
      <c r="F176" s="11" t="s">
        <v>48</v>
      </c>
      <c r="G176" s="13">
        <v>16222</v>
      </c>
      <c r="H176" s="14">
        <v>95.501000000000005</v>
      </c>
      <c r="I176" s="14">
        <v>95.378</v>
      </c>
    </row>
    <row r="177" spans="1:9" x14ac:dyDescent="0.3">
      <c r="A177" s="11" t="s">
        <v>407</v>
      </c>
      <c r="B177" s="12">
        <v>46293</v>
      </c>
      <c r="C177" s="11" t="s">
        <v>77</v>
      </c>
      <c r="D177" s="11" t="s">
        <v>26</v>
      </c>
      <c r="E177" s="11" t="s">
        <v>408</v>
      </c>
      <c r="F177" s="11" t="s">
        <v>48</v>
      </c>
      <c r="G177" s="13">
        <v>19212</v>
      </c>
      <c r="H177" s="14">
        <v>98.236999999999995</v>
      </c>
      <c r="I177" s="14">
        <v>98.403999999999996</v>
      </c>
    </row>
    <row r="178" spans="1:9" x14ac:dyDescent="0.3">
      <c r="A178" s="11" t="s">
        <v>403</v>
      </c>
      <c r="B178" s="12">
        <v>46293</v>
      </c>
      <c r="C178" s="11" t="s">
        <v>39</v>
      </c>
      <c r="D178" s="11" t="s">
        <v>24</v>
      </c>
      <c r="E178" s="11" t="s">
        <v>404</v>
      </c>
      <c r="F178" s="11" t="s">
        <v>41</v>
      </c>
      <c r="G178" s="13">
        <v>13903</v>
      </c>
      <c r="H178" s="14">
        <v>98.89</v>
      </c>
      <c r="I178" s="14">
        <v>99.41</v>
      </c>
    </row>
    <row r="179" spans="1:9" x14ac:dyDescent="0.3">
      <c r="A179" s="11" t="s">
        <v>409</v>
      </c>
      <c r="B179" s="12">
        <v>46293</v>
      </c>
      <c r="C179" s="11" t="s">
        <v>60</v>
      </c>
      <c r="D179" s="11" t="s">
        <v>24</v>
      </c>
      <c r="E179" s="11" t="s">
        <v>410</v>
      </c>
      <c r="F179" s="11" t="s">
        <v>56</v>
      </c>
      <c r="G179" s="13">
        <v>45199</v>
      </c>
      <c r="H179" s="14">
        <v>149.43</v>
      </c>
      <c r="I179" s="14">
        <v>149.63999999999999</v>
      </c>
    </row>
    <row r="180" spans="1:9" x14ac:dyDescent="0.3">
      <c r="A180" s="11" t="s">
        <v>411</v>
      </c>
      <c r="B180" s="12">
        <v>46293</v>
      </c>
      <c r="C180" s="11" t="s">
        <v>77</v>
      </c>
      <c r="D180" s="11" t="s">
        <v>26</v>
      </c>
      <c r="E180" s="11" t="s">
        <v>412</v>
      </c>
      <c r="F180" s="11" t="s">
        <v>48</v>
      </c>
      <c r="G180" s="13">
        <v>17083</v>
      </c>
      <c r="H180" s="14">
        <v>101.167</v>
      </c>
      <c r="I180" s="14">
        <v>101.096</v>
      </c>
    </row>
    <row r="181" spans="1:9" x14ac:dyDescent="0.3">
      <c r="A181" s="11" t="s">
        <v>387</v>
      </c>
      <c r="B181" s="12">
        <v>46293</v>
      </c>
      <c r="C181" s="11" t="s">
        <v>50</v>
      </c>
      <c r="D181" s="11" t="s">
        <v>25</v>
      </c>
      <c r="E181" s="11" t="s">
        <v>388</v>
      </c>
      <c r="F181" s="11" t="s">
        <v>52</v>
      </c>
      <c r="G181" s="13">
        <v>5534</v>
      </c>
      <c r="H181" s="14">
        <v>96.346999999999994</v>
      </c>
      <c r="I181" s="14">
        <v>96.474999999999994</v>
      </c>
    </row>
    <row r="182" spans="1:9" x14ac:dyDescent="0.3">
      <c r="A182" s="11" t="s">
        <v>413</v>
      </c>
      <c r="B182" s="12">
        <v>46293</v>
      </c>
      <c r="C182" s="11" t="s">
        <v>39</v>
      </c>
      <c r="D182" s="11" t="s">
        <v>24</v>
      </c>
      <c r="E182" s="11" t="s">
        <v>414</v>
      </c>
      <c r="F182" s="11" t="s">
        <v>41</v>
      </c>
      <c r="G182" s="13">
        <v>25686</v>
      </c>
      <c r="H182" s="14">
        <v>272.68</v>
      </c>
      <c r="I182" s="14">
        <v>272.63</v>
      </c>
    </row>
    <row r="183" spans="1:9" x14ac:dyDescent="0.3">
      <c r="A183" s="11" t="s">
        <v>415</v>
      </c>
      <c r="B183" s="12">
        <v>46293</v>
      </c>
      <c r="C183" s="11" t="s">
        <v>77</v>
      </c>
      <c r="D183" s="11" t="s">
        <v>26</v>
      </c>
      <c r="E183" s="11" t="s">
        <v>416</v>
      </c>
      <c r="F183" s="11" t="s">
        <v>48</v>
      </c>
      <c r="G183" s="13">
        <v>16232</v>
      </c>
      <c r="H183" s="14">
        <v>100.92700000000001</v>
      </c>
      <c r="I183" s="14">
        <v>100.77500000000001</v>
      </c>
    </row>
    <row r="184" spans="1:9" x14ac:dyDescent="0.3">
      <c r="A184" s="11" t="s">
        <v>417</v>
      </c>
      <c r="B184" s="12">
        <v>46293</v>
      </c>
      <c r="C184" s="11" t="s">
        <v>54</v>
      </c>
      <c r="D184" s="11" t="s">
        <v>27</v>
      </c>
      <c r="E184" s="11" t="s">
        <v>418</v>
      </c>
      <c r="F184" s="11" t="s">
        <v>56</v>
      </c>
      <c r="G184" s="13">
        <v>178831</v>
      </c>
      <c r="H184" s="14">
        <v>1.06115</v>
      </c>
      <c r="I184" s="14">
        <v>1.06118</v>
      </c>
    </row>
    <row r="185" spans="1:9" x14ac:dyDescent="0.3">
      <c r="A185" s="11" t="s">
        <v>419</v>
      </c>
      <c r="B185" s="12">
        <v>46293</v>
      </c>
      <c r="C185" s="11" t="s">
        <v>50</v>
      </c>
      <c r="D185" s="11" t="s">
        <v>25</v>
      </c>
      <c r="E185" s="11" t="s">
        <v>420</v>
      </c>
      <c r="F185" s="11" t="s">
        <v>52</v>
      </c>
      <c r="G185" s="13">
        <v>7532</v>
      </c>
      <c r="H185" s="14">
        <v>107.194</v>
      </c>
      <c r="I185" s="14">
        <v>106.881</v>
      </c>
    </row>
    <row r="186" spans="1:9" x14ac:dyDescent="0.3">
      <c r="A186" s="11" t="s">
        <v>421</v>
      </c>
      <c r="B186" s="12">
        <v>46293</v>
      </c>
      <c r="C186" s="11" t="s">
        <v>77</v>
      </c>
      <c r="D186" s="11" t="s">
        <v>26</v>
      </c>
      <c r="E186" s="11" t="s">
        <v>422</v>
      </c>
      <c r="F186" s="11" t="s">
        <v>48</v>
      </c>
      <c r="G186" s="13">
        <v>15771</v>
      </c>
      <c r="H186" s="14">
        <v>102.81399999999999</v>
      </c>
      <c r="I186" s="14">
        <v>102.79300000000001</v>
      </c>
    </row>
    <row r="187" spans="1:9" x14ac:dyDescent="0.3">
      <c r="A187" s="11" t="s">
        <v>423</v>
      </c>
      <c r="B187" s="12">
        <v>46293</v>
      </c>
      <c r="C187" s="11" t="s">
        <v>39</v>
      </c>
      <c r="D187" s="11" t="s">
        <v>24</v>
      </c>
      <c r="E187" s="11" t="s">
        <v>424</v>
      </c>
      <c r="F187" s="11" t="s">
        <v>41</v>
      </c>
      <c r="G187" s="13">
        <v>6178</v>
      </c>
      <c r="H187" s="14">
        <v>63.53</v>
      </c>
      <c r="I187" s="14">
        <v>63.25</v>
      </c>
    </row>
    <row r="188" spans="1:9" x14ac:dyDescent="0.3">
      <c r="A188" s="11" t="s">
        <v>425</v>
      </c>
      <c r="B188" s="12">
        <v>46293</v>
      </c>
      <c r="C188" s="11" t="s">
        <v>46</v>
      </c>
      <c r="D188" s="11" t="s">
        <v>25</v>
      </c>
      <c r="E188" s="11" t="s">
        <v>426</v>
      </c>
      <c r="F188" s="11" t="s">
        <v>48</v>
      </c>
      <c r="G188" s="13">
        <v>19314</v>
      </c>
      <c r="H188" s="14">
        <v>94.132999999999996</v>
      </c>
      <c r="I188" s="14">
        <v>94.415999999999997</v>
      </c>
    </row>
    <row r="189" spans="1:9" x14ac:dyDescent="0.3">
      <c r="A189" s="11" t="s">
        <v>427</v>
      </c>
      <c r="B189" s="12">
        <v>46293</v>
      </c>
      <c r="C189" s="11" t="s">
        <v>39</v>
      </c>
      <c r="D189" s="11" t="s">
        <v>24</v>
      </c>
      <c r="E189" s="11" t="s">
        <v>428</v>
      </c>
      <c r="F189" s="11" t="s">
        <v>41</v>
      </c>
      <c r="G189" s="13">
        <v>19545</v>
      </c>
      <c r="H189" s="14">
        <v>63.34</v>
      </c>
      <c r="I189" s="14">
        <v>62.46</v>
      </c>
    </row>
    <row r="190" spans="1:9" x14ac:dyDescent="0.3">
      <c r="A190" s="11" t="s">
        <v>429</v>
      </c>
      <c r="B190" s="12">
        <v>46293</v>
      </c>
      <c r="C190" s="11" t="s">
        <v>96</v>
      </c>
      <c r="D190" s="11" t="s">
        <v>26</v>
      </c>
      <c r="E190" s="11" t="s">
        <v>430</v>
      </c>
      <c r="F190" s="11" t="s">
        <v>52</v>
      </c>
      <c r="G190" s="13">
        <v>3339</v>
      </c>
      <c r="H190" s="14">
        <v>101.181</v>
      </c>
      <c r="I190" s="14">
        <v>101.02200000000001</v>
      </c>
    </row>
    <row r="191" spans="1:9" x14ac:dyDescent="0.3">
      <c r="A191" s="11" t="s">
        <v>431</v>
      </c>
      <c r="B191" s="12">
        <v>46293</v>
      </c>
      <c r="C191" s="11" t="s">
        <v>60</v>
      </c>
      <c r="D191" s="11" t="s">
        <v>24</v>
      </c>
      <c r="E191" s="11" t="s">
        <v>432</v>
      </c>
      <c r="F191" s="11" t="s">
        <v>56</v>
      </c>
      <c r="G191" s="13">
        <v>7607</v>
      </c>
      <c r="H191" s="14">
        <v>210.48</v>
      </c>
      <c r="I191" s="14">
        <v>211.15</v>
      </c>
    </row>
    <row r="192" spans="1:9" x14ac:dyDescent="0.3">
      <c r="A192" s="11" t="s">
        <v>433</v>
      </c>
      <c r="B192" s="12">
        <v>46293</v>
      </c>
      <c r="C192" s="11" t="s">
        <v>46</v>
      </c>
      <c r="D192" s="11" t="s">
        <v>25</v>
      </c>
      <c r="E192" s="11" t="s">
        <v>434</v>
      </c>
      <c r="F192" s="11" t="s">
        <v>48</v>
      </c>
      <c r="G192" s="13">
        <v>17692</v>
      </c>
      <c r="H192" s="14">
        <v>97.617999999999995</v>
      </c>
      <c r="I192" s="14">
        <v>97.414000000000001</v>
      </c>
    </row>
    <row r="193" spans="1:9" x14ac:dyDescent="0.3">
      <c r="A193" s="11" t="s">
        <v>435</v>
      </c>
      <c r="B193" s="12">
        <v>46293</v>
      </c>
      <c r="C193" s="11" t="s">
        <v>96</v>
      </c>
      <c r="D193" s="11" t="s">
        <v>26</v>
      </c>
      <c r="E193" s="11" t="s">
        <v>436</v>
      </c>
      <c r="F193" s="11" t="s">
        <v>52</v>
      </c>
      <c r="G193" s="13">
        <v>7260</v>
      </c>
      <c r="H193" s="14">
        <v>100.133</v>
      </c>
      <c r="I193" s="14">
        <v>100.25</v>
      </c>
    </row>
    <row r="194" spans="1:9" x14ac:dyDescent="0.3">
      <c r="A194" s="11" t="s">
        <v>437</v>
      </c>
      <c r="B194" s="12">
        <v>46293</v>
      </c>
      <c r="C194" s="11" t="s">
        <v>50</v>
      </c>
      <c r="D194" s="11" t="s">
        <v>25</v>
      </c>
      <c r="E194" s="11" t="s">
        <v>438</v>
      </c>
      <c r="F194" s="11" t="s">
        <v>52</v>
      </c>
      <c r="G194" s="13">
        <v>9559</v>
      </c>
      <c r="H194" s="14">
        <v>106.033</v>
      </c>
      <c r="I194" s="14">
        <v>106.23099999999999</v>
      </c>
    </row>
    <row r="195" spans="1:9" x14ac:dyDescent="0.3">
      <c r="A195" s="11" t="s">
        <v>439</v>
      </c>
      <c r="B195" s="12">
        <v>46293</v>
      </c>
      <c r="C195" s="11" t="s">
        <v>46</v>
      </c>
      <c r="D195" s="11" t="s">
        <v>25</v>
      </c>
      <c r="E195" s="11" t="s">
        <v>440</v>
      </c>
      <c r="F195" s="11" t="s">
        <v>48</v>
      </c>
      <c r="G195" s="13">
        <v>7498</v>
      </c>
      <c r="H195" s="14">
        <v>107.06399999999999</v>
      </c>
      <c r="I195" s="14">
        <v>107.333</v>
      </c>
    </row>
    <row r="196" spans="1:9" x14ac:dyDescent="0.3">
      <c r="A196" s="11" t="s">
        <v>441</v>
      </c>
      <c r="B196" s="12">
        <v>46293</v>
      </c>
      <c r="C196" s="11" t="s">
        <v>96</v>
      </c>
      <c r="D196" s="11" t="s">
        <v>26</v>
      </c>
      <c r="E196" s="11" t="s">
        <v>442</v>
      </c>
      <c r="F196" s="11" t="s">
        <v>52</v>
      </c>
      <c r="G196" s="13">
        <v>15490</v>
      </c>
      <c r="H196" s="14">
        <v>99.763999999999996</v>
      </c>
      <c r="I196" s="14">
        <v>99.834000000000003</v>
      </c>
    </row>
    <row r="197" spans="1:9" x14ac:dyDescent="0.3">
      <c r="A197" s="11" t="s">
        <v>443</v>
      </c>
      <c r="B197" s="12">
        <v>46293</v>
      </c>
      <c r="C197" s="11" t="s">
        <v>77</v>
      </c>
      <c r="D197" s="11" t="s">
        <v>26</v>
      </c>
      <c r="E197" s="11" t="s">
        <v>444</v>
      </c>
      <c r="F197" s="11" t="s">
        <v>48</v>
      </c>
      <c r="G197" s="13">
        <v>14189</v>
      </c>
      <c r="H197" s="14">
        <v>99.513000000000005</v>
      </c>
      <c r="I197" s="14">
        <v>99.992999999999995</v>
      </c>
    </row>
    <row r="198" spans="1:9" x14ac:dyDescent="0.3">
      <c r="A198" s="11" t="s">
        <v>445</v>
      </c>
      <c r="B198" s="12">
        <v>46293</v>
      </c>
      <c r="C198" s="11" t="s">
        <v>43</v>
      </c>
      <c r="D198" s="11" t="s">
        <v>27</v>
      </c>
      <c r="E198" s="11" t="s">
        <v>446</v>
      </c>
      <c r="F198" s="11" t="s">
        <v>41</v>
      </c>
      <c r="G198" s="13">
        <v>2888708</v>
      </c>
      <c r="H198" s="14">
        <v>1.46526</v>
      </c>
      <c r="I198" s="14">
        <v>1.4676499999999999</v>
      </c>
    </row>
    <row r="199" spans="1:9" x14ac:dyDescent="0.3">
      <c r="A199" s="11" t="s">
        <v>447</v>
      </c>
      <c r="B199" s="12">
        <v>46293</v>
      </c>
      <c r="C199" s="11" t="s">
        <v>77</v>
      </c>
      <c r="D199" s="11" t="s">
        <v>26</v>
      </c>
      <c r="E199" s="11" t="s">
        <v>448</v>
      </c>
      <c r="F199" s="11" t="s">
        <v>48</v>
      </c>
      <c r="G199" s="13">
        <v>7670</v>
      </c>
      <c r="H199" s="14">
        <v>102.08</v>
      </c>
      <c r="I199" s="14">
        <v>101.991</v>
      </c>
    </row>
    <row r="200" spans="1:9" x14ac:dyDescent="0.3">
      <c r="A200" s="11" t="s">
        <v>449</v>
      </c>
      <c r="B200" s="12">
        <v>46293</v>
      </c>
      <c r="C200" s="11" t="s">
        <v>50</v>
      </c>
      <c r="D200" s="11" t="s">
        <v>344</v>
      </c>
      <c r="E200" s="11" t="s">
        <v>450</v>
      </c>
      <c r="F200" s="11" t="s">
        <v>52</v>
      </c>
      <c r="G200" s="13">
        <v>3274</v>
      </c>
      <c r="H200" s="14">
        <v>92.379000000000005</v>
      </c>
      <c r="I200" s="14">
        <v>92.307000000000002</v>
      </c>
    </row>
    <row r="201" spans="1:9" x14ac:dyDescent="0.3">
      <c r="A201" s="11" t="s">
        <v>451</v>
      </c>
      <c r="B201" s="12">
        <v>46293</v>
      </c>
      <c r="C201" s="11" t="s">
        <v>50</v>
      </c>
      <c r="D201" s="11" t="s">
        <v>452</v>
      </c>
      <c r="E201" s="11" t="s">
        <v>453</v>
      </c>
      <c r="F201" s="11" t="s">
        <v>52</v>
      </c>
      <c r="G201" s="13">
        <v>5835</v>
      </c>
      <c r="H201" s="14">
        <v>103.494</v>
      </c>
      <c r="I201" s="14">
        <v>103.68899999999999</v>
      </c>
    </row>
    <row r="202" spans="1:9" x14ac:dyDescent="0.3">
      <c r="A202" s="11" t="s">
        <v>454</v>
      </c>
      <c r="B202" s="12">
        <v>46293</v>
      </c>
      <c r="C202" s="11" t="s">
        <v>39</v>
      </c>
      <c r="D202" s="11" t="s">
        <v>24</v>
      </c>
      <c r="E202" s="11" t="s">
        <v>455</v>
      </c>
      <c r="F202" s="11" t="s">
        <v>41</v>
      </c>
      <c r="G202" s="13">
        <v>33370</v>
      </c>
      <c r="H202" s="14">
        <v>255.67</v>
      </c>
      <c r="I202" s="14">
        <v>257.2</v>
      </c>
    </row>
    <row r="203" spans="1:9" x14ac:dyDescent="0.3">
      <c r="A203" s="11" t="s">
        <v>456</v>
      </c>
      <c r="B203" s="12">
        <v>46293</v>
      </c>
      <c r="C203" s="11" t="s">
        <v>46</v>
      </c>
      <c r="D203" s="11" t="s">
        <v>25</v>
      </c>
      <c r="E203" s="11" t="s">
        <v>457</v>
      </c>
      <c r="F203" s="11" t="s">
        <v>48</v>
      </c>
      <c r="G203" s="13">
        <v>16128</v>
      </c>
      <c r="H203" s="14">
        <v>94.171000000000006</v>
      </c>
      <c r="I203" s="14">
        <v>94.361000000000004</v>
      </c>
    </row>
    <row r="204" spans="1:9" x14ac:dyDescent="0.3">
      <c r="A204" s="11" t="s">
        <v>458</v>
      </c>
      <c r="B204" s="12">
        <v>46293</v>
      </c>
      <c r="C204" s="11" t="s">
        <v>60</v>
      </c>
      <c r="D204" s="11" t="s">
        <v>24</v>
      </c>
      <c r="E204" s="11" t="s">
        <v>459</v>
      </c>
      <c r="F204" s="11" t="s">
        <v>56</v>
      </c>
      <c r="G204" s="13">
        <v>20690</v>
      </c>
      <c r="H204" s="14">
        <v>207.52</v>
      </c>
      <c r="I204" s="14">
        <v>208.16</v>
      </c>
    </row>
    <row r="205" spans="1:9" x14ac:dyDescent="0.3">
      <c r="A205" s="11" t="s">
        <v>460</v>
      </c>
      <c r="B205" s="12">
        <v>46293</v>
      </c>
      <c r="C205" s="11" t="s">
        <v>60</v>
      </c>
      <c r="D205" s="11" t="s">
        <v>24</v>
      </c>
      <c r="E205" s="11" t="s">
        <v>461</v>
      </c>
      <c r="F205" s="11" t="s">
        <v>56</v>
      </c>
      <c r="G205" s="13">
        <v>47025</v>
      </c>
      <c r="H205" s="14">
        <v>177.15</v>
      </c>
      <c r="I205" s="14">
        <v>177.07</v>
      </c>
    </row>
    <row r="206" spans="1:9" x14ac:dyDescent="0.3">
      <c r="A206" s="11" t="s">
        <v>462</v>
      </c>
      <c r="B206" s="12">
        <v>46293</v>
      </c>
      <c r="C206" s="11" t="s">
        <v>54</v>
      </c>
      <c r="D206" s="11" t="s">
        <v>27</v>
      </c>
      <c r="E206" s="11" t="s">
        <v>463</v>
      </c>
      <c r="F206" s="11" t="s">
        <v>56</v>
      </c>
      <c r="G206" s="13">
        <v>3545831</v>
      </c>
      <c r="H206" s="14">
        <v>1.58077</v>
      </c>
      <c r="I206" s="14">
        <v>1.5806100000000001</v>
      </c>
    </row>
    <row r="207" spans="1:9" x14ac:dyDescent="0.3">
      <c r="A207" s="11" t="s">
        <v>464</v>
      </c>
      <c r="B207" s="12">
        <v>46293</v>
      </c>
      <c r="C207" s="11" t="s">
        <v>43</v>
      </c>
      <c r="D207" s="11" t="s">
        <v>27</v>
      </c>
      <c r="E207" s="11" t="s">
        <v>465</v>
      </c>
      <c r="F207" s="11" t="s">
        <v>41</v>
      </c>
      <c r="G207" s="13">
        <v>3932216</v>
      </c>
      <c r="H207" s="14">
        <v>1.2903100000000001</v>
      </c>
      <c r="I207" s="14">
        <v>1.2922499999999999</v>
      </c>
    </row>
    <row r="208" spans="1:9" x14ac:dyDescent="0.3">
      <c r="A208" s="11" t="s">
        <v>466</v>
      </c>
      <c r="B208" s="12">
        <v>46293</v>
      </c>
      <c r="C208" s="11" t="s">
        <v>43</v>
      </c>
      <c r="D208" s="11" t="s">
        <v>27</v>
      </c>
      <c r="E208" s="11" t="s">
        <v>467</v>
      </c>
      <c r="F208" s="11" t="s">
        <v>41</v>
      </c>
      <c r="G208" s="13">
        <v>4193200</v>
      </c>
      <c r="H208" s="14">
        <v>1.2267999999999999</v>
      </c>
      <c r="I208" s="14">
        <v>1.2297199999999999</v>
      </c>
    </row>
    <row r="209" spans="1:9" x14ac:dyDescent="0.3">
      <c r="A209" s="11" t="s">
        <v>468</v>
      </c>
      <c r="B209" s="12">
        <v>46293</v>
      </c>
      <c r="C209" s="11" t="s">
        <v>50</v>
      </c>
      <c r="D209" s="11" t="s">
        <v>25</v>
      </c>
      <c r="E209" s="11" t="s">
        <v>469</v>
      </c>
      <c r="F209" s="11" t="s">
        <v>52</v>
      </c>
      <c r="G209" s="13">
        <v>2319</v>
      </c>
      <c r="H209" s="14">
        <v>107.999</v>
      </c>
      <c r="I209" s="14">
        <v>108.229</v>
      </c>
    </row>
    <row r="210" spans="1:9" x14ac:dyDescent="0.3">
      <c r="A210" s="11" t="s">
        <v>470</v>
      </c>
      <c r="B210" s="12">
        <v>46293</v>
      </c>
      <c r="C210" s="11" t="s">
        <v>43</v>
      </c>
      <c r="D210" s="11" t="s">
        <v>27</v>
      </c>
      <c r="E210" s="11" t="s">
        <v>471</v>
      </c>
      <c r="F210" s="11" t="s">
        <v>41</v>
      </c>
      <c r="G210" s="13">
        <v>121518</v>
      </c>
      <c r="H210" s="14">
        <v>0.93988000000000005</v>
      </c>
      <c r="I210" s="14">
        <v>0.93962000000000001</v>
      </c>
    </row>
    <row r="211" spans="1:9" x14ac:dyDescent="0.3">
      <c r="A211" s="11" t="s">
        <v>472</v>
      </c>
      <c r="B211" s="12">
        <v>46293</v>
      </c>
      <c r="C211" s="11" t="s">
        <v>50</v>
      </c>
      <c r="D211" s="11" t="s">
        <v>344</v>
      </c>
      <c r="E211" s="11" t="s">
        <v>473</v>
      </c>
      <c r="F211" s="11" t="s">
        <v>52</v>
      </c>
      <c r="G211" s="13">
        <v>15288</v>
      </c>
      <c r="H211" s="14">
        <v>96.075999999999993</v>
      </c>
      <c r="I211" s="14">
        <v>96.093000000000004</v>
      </c>
    </row>
    <row r="212" spans="1:9" x14ac:dyDescent="0.3">
      <c r="A212" s="11" t="s">
        <v>474</v>
      </c>
      <c r="B212" s="12">
        <v>46293</v>
      </c>
      <c r="C212" s="11" t="s">
        <v>96</v>
      </c>
      <c r="D212" s="11" t="s">
        <v>26</v>
      </c>
      <c r="E212" s="11" t="s">
        <v>475</v>
      </c>
      <c r="F212" s="11" t="s">
        <v>52</v>
      </c>
      <c r="G212" s="13">
        <v>18191</v>
      </c>
      <c r="H212" s="14">
        <v>97.730999999999995</v>
      </c>
      <c r="I212" s="14">
        <v>97.887</v>
      </c>
    </row>
    <row r="213" spans="1:9" x14ac:dyDescent="0.3">
      <c r="A213" s="11" t="s">
        <v>476</v>
      </c>
      <c r="B213" s="12">
        <v>46293</v>
      </c>
      <c r="C213" s="11" t="s">
        <v>77</v>
      </c>
      <c r="D213" s="11" t="s">
        <v>26</v>
      </c>
      <c r="E213" s="11" t="s">
        <v>477</v>
      </c>
      <c r="F213" s="11" t="s">
        <v>48</v>
      </c>
      <c r="G213" s="13">
        <v>2973</v>
      </c>
      <c r="H213" s="14">
        <v>100.54900000000001</v>
      </c>
      <c r="I213" s="14">
        <v>100.42100000000001</v>
      </c>
    </row>
    <row r="214" spans="1:9" x14ac:dyDescent="0.3">
      <c r="A214" s="11" t="s">
        <v>478</v>
      </c>
      <c r="B214" s="12">
        <v>46293</v>
      </c>
      <c r="C214" s="11" t="s">
        <v>77</v>
      </c>
      <c r="D214" s="11" t="s">
        <v>341</v>
      </c>
      <c r="E214" s="11" t="s">
        <v>479</v>
      </c>
      <c r="F214" s="11" t="s">
        <v>48</v>
      </c>
      <c r="G214" s="13">
        <v>7360</v>
      </c>
      <c r="H214" s="14">
        <v>103.84399999999999</v>
      </c>
      <c r="I214" s="14">
        <v>103.827</v>
      </c>
    </row>
    <row r="215" spans="1:9" x14ac:dyDescent="0.3">
      <c r="A215" s="11" t="s">
        <v>480</v>
      </c>
      <c r="B215" s="12">
        <v>46293</v>
      </c>
      <c r="C215" s="11" t="s">
        <v>39</v>
      </c>
      <c r="D215" s="11" t="s">
        <v>24</v>
      </c>
      <c r="E215" s="11" t="s">
        <v>481</v>
      </c>
      <c r="F215" s="11" t="s">
        <v>41</v>
      </c>
      <c r="G215" s="13">
        <v>29919</v>
      </c>
      <c r="H215" s="14">
        <v>279.43</v>
      </c>
      <c r="I215" s="14">
        <v>279.35000000000002</v>
      </c>
    </row>
    <row r="216" spans="1:9" x14ac:dyDescent="0.3">
      <c r="A216" s="11" t="s">
        <v>482</v>
      </c>
      <c r="B216" s="12">
        <v>46293</v>
      </c>
      <c r="C216" s="11" t="s">
        <v>96</v>
      </c>
      <c r="D216" s="11" t="s">
        <v>26</v>
      </c>
      <c r="E216" s="11" t="s">
        <v>483</v>
      </c>
      <c r="F216" s="11" t="s">
        <v>52</v>
      </c>
      <c r="G216" s="13">
        <v>11079</v>
      </c>
      <c r="H216" s="14">
        <v>97.326999999999998</v>
      </c>
      <c r="I216" s="14">
        <v>97.426000000000002</v>
      </c>
    </row>
    <row r="217" spans="1:9" x14ac:dyDescent="0.3">
      <c r="A217" s="11" t="s">
        <v>484</v>
      </c>
      <c r="B217" s="12">
        <v>46293</v>
      </c>
      <c r="C217" s="11" t="s">
        <v>60</v>
      </c>
      <c r="D217" s="11" t="s">
        <v>24</v>
      </c>
      <c r="E217" s="11" t="s">
        <v>485</v>
      </c>
      <c r="F217" s="11" t="s">
        <v>56</v>
      </c>
      <c r="G217" s="13">
        <v>49946</v>
      </c>
      <c r="H217" s="14">
        <v>43.98</v>
      </c>
      <c r="I217" s="14">
        <v>44.06</v>
      </c>
    </row>
    <row r="218" spans="1:9" x14ac:dyDescent="0.3">
      <c r="A218" s="11" t="s">
        <v>486</v>
      </c>
      <c r="B218" s="12">
        <v>46293</v>
      </c>
      <c r="C218" s="11" t="s">
        <v>60</v>
      </c>
      <c r="D218" s="11" t="s">
        <v>24</v>
      </c>
      <c r="E218" s="11" t="s">
        <v>487</v>
      </c>
      <c r="F218" s="11" t="s">
        <v>56</v>
      </c>
      <c r="G218" s="13">
        <v>37270</v>
      </c>
      <c r="H218" s="14">
        <v>275.68</v>
      </c>
      <c r="I218" s="14">
        <v>277</v>
      </c>
    </row>
    <row r="219" spans="1:9" x14ac:dyDescent="0.3">
      <c r="A219" s="11" t="s">
        <v>488</v>
      </c>
      <c r="B219" s="12">
        <v>46293</v>
      </c>
      <c r="C219" s="11" t="s">
        <v>50</v>
      </c>
      <c r="D219" s="11" t="s">
        <v>25</v>
      </c>
      <c r="E219" s="11" t="s">
        <v>489</v>
      </c>
      <c r="F219" s="11" t="s">
        <v>52</v>
      </c>
      <c r="G219" s="13">
        <v>4976</v>
      </c>
      <c r="H219" s="14">
        <v>100.91800000000001</v>
      </c>
      <c r="I219" s="14">
        <v>101.286</v>
      </c>
    </row>
    <row r="220" spans="1:9" x14ac:dyDescent="0.3">
      <c r="A220" s="11" t="s">
        <v>490</v>
      </c>
      <c r="B220" s="12">
        <v>46293</v>
      </c>
      <c r="C220" s="11" t="s">
        <v>39</v>
      </c>
      <c r="D220" s="11" t="s">
        <v>24</v>
      </c>
      <c r="E220" s="11" t="s">
        <v>491</v>
      </c>
      <c r="F220" s="11" t="s">
        <v>41</v>
      </c>
      <c r="G220" s="13">
        <v>47423</v>
      </c>
      <c r="H220" s="14">
        <v>20.91</v>
      </c>
      <c r="I220" s="14">
        <v>20.84</v>
      </c>
    </row>
    <row r="221" spans="1:9" x14ac:dyDescent="0.3">
      <c r="A221" s="11" t="s">
        <v>492</v>
      </c>
      <c r="B221" s="12">
        <v>46293</v>
      </c>
      <c r="C221" s="11" t="s">
        <v>96</v>
      </c>
      <c r="D221" s="11" t="s">
        <v>105</v>
      </c>
      <c r="E221" s="11" t="s">
        <v>493</v>
      </c>
      <c r="F221" s="11" t="s">
        <v>52</v>
      </c>
      <c r="G221" s="13">
        <v>18779</v>
      </c>
      <c r="H221" s="14">
        <v>101.261</v>
      </c>
      <c r="I221" s="14">
        <v>101.179</v>
      </c>
    </row>
    <row r="222" spans="1:9" x14ac:dyDescent="0.3">
      <c r="A222" s="11" t="s">
        <v>494</v>
      </c>
      <c r="B222" s="12">
        <v>46293</v>
      </c>
      <c r="C222" s="11" t="s">
        <v>46</v>
      </c>
      <c r="D222" s="11" t="s">
        <v>25</v>
      </c>
      <c r="E222" s="11" t="s">
        <v>495</v>
      </c>
      <c r="F222" s="11" t="s">
        <v>48</v>
      </c>
      <c r="G222" s="13">
        <v>19346</v>
      </c>
      <c r="H222" s="14">
        <v>95.361000000000004</v>
      </c>
      <c r="I222" s="14">
        <v>95.361000000000004</v>
      </c>
    </row>
    <row r="223" spans="1:9" x14ac:dyDescent="0.3">
      <c r="A223" s="11" t="s">
        <v>496</v>
      </c>
      <c r="B223" s="12">
        <v>46293</v>
      </c>
      <c r="C223" s="11" t="s">
        <v>43</v>
      </c>
      <c r="D223" s="11" t="s">
        <v>27</v>
      </c>
      <c r="E223" s="11" t="s">
        <v>497</v>
      </c>
      <c r="F223" s="11" t="s">
        <v>41</v>
      </c>
      <c r="G223" s="13">
        <v>1300558</v>
      </c>
      <c r="H223" s="14">
        <v>1.5128299999999999</v>
      </c>
      <c r="I223" s="14">
        <v>1.51065</v>
      </c>
    </row>
    <row r="224" spans="1:9" x14ac:dyDescent="0.3">
      <c r="A224" s="11" t="s">
        <v>498</v>
      </c>
      <c r="B224" s="12">
        <v>46293</v>
      </c>
      <c r="C224" s="11" t="s">
        <v>43</v>
      </c>
      <c r="D224" s="11" t="s">
        <v>27</v>
      </c>
      <c r="E224" s="11" t="s">
        <v>499</v>
      </c>
      <c r="F224" s="11" t="s">
        <v>41</v>
      </c>
      <c r="G224" s="13">
        <v>4685197</v>
      </c>
      <c r="H224" s="14">
        <v>1.5012099999999999</v>
      </c>
      <c r="I224" s="14">
        <v>1.4994799999999999</v>
      </c>
    </row>
    <row r="225" spans="1:9" x14ac:dyDescent="0.3">
      <c r="A225" s="11" t="s">
        <v>500</v>
      </c>
      <c r="B225" s="12">
        <v>46293</v>
      </c>
      <c r="C225" s="11" t="s">
        <v>77</v>
      </c>
      <c r="D225" s="11" t="s">
        <v>26</v>
      </c>
      <c r="E225" s="11" t="s">
        <v>501</v>
      </c>
      <c r="F225" s="11" t="s">
        <v>48</v>
      </c>
      <c r="G225" s="13">
        <v>17334</v>
      </c>
      <c r="H225" s="14">
        <v>99.305999999999997</v>
      </c>
      <c r="I225" s="14">
        <v>99.27</v>
      </c>
    </row>
    <row r="226" spans="1:9" x14ac:dyDescent="0.3">
      <c r="A226" s="11" t="s">
        <v>502</v>
      </c>
      <c r="B226" s="12">
        <v>46293</v>
      </c>
      <c r="C226" s="11" t="s">
        <v>46</v>
      </c>
      <c r="D226" s="11" t="s">
        <v>25</v>
      </c>
      <c r="E226" s="11" t="s">
        <v>503</v>
      </c>
      <c r="F226" s="11" t="s">
        <v>48</v>
      </c>
      <c r="G226" s="13">
        <v>9101</v>
      </c>
      <c r="H226" s="14">
        <v>96.147000000000006</v>
      </c>
      <c r="I226" s="14">
        <v>96.299000000000007</v>
      </c>
    </row>
    <row r="227" spans="1:9" x14ac:dyDescent="0.3">
      <c r="A227" s="11" t="s">
        <v>504</v>
      </c>
      <c r="B227" s="12">
        <v>46293</v>
      </c>
      <c r="C227" s="11" t="s">
        <v>54</v>
      </c>
      <c r="D227" s="11" t="s">
        <v>27</v>
      </c>
      <c r="E227" s="11" t="s">
        <v>505</v>
      </c>
      <c r="F227" s="11" t="s">
        <v>56</v>
      </c>
      <c r="G227" s="13">
        <v>1085377</v>
      </c>
      <c r="H227" s="14">
        <v>1.06145</v>
      </c>
      <c r="I227" s="14">
        <v>1.05369</v>
      </c>
    </row>
    <row r="228" spans="1:9" x14ac:dyDescent="0.3">
      <c r="A228" s="11" t="s">
        <v>506</v>
      </c>
      <c r="B228" s="12">
        <v>46293</v>
      </c>
      <c r="C228" s="11" t="s">
        <v>60</v>
      </c>
      <c r="D228" s="11" t="s">
        <v>24</v>
      </c>
      <c r="E228" s="11" t="s">
        <v>507</v>
      </c>
      <c r="F228" s="11" t="s">
        <v>56</v>
      </c>
      <c r="G228" s="13">
        <v>2704</v>
      </c>
      <c r="H228" s="14">
        <v>182.1</v>
      </c>
      <c r="I228" s="14">
        <v>186.12</v>
      </c>
    </row>
    <row r="229" spans="1:9" x14ac:dyDescent="0.3">
      <c r="A229" s="11" t="s">
        <v>508</v>
      </c>
      <c r="B229" s="12">
        <v>46293</v>
      </c>
      <c r="C229" s="11" t="s">
        <v>60</v>
      </c>
      <c r="D229" s="11" t="s">
        <v>24</v>
      </c>
      <c r="E229" s="11" t="s">
        <v>509</v>
      </c>
      <c r="F229" s="11" t="s">
        <v>56</v>
      </c>
      <c r="G229" s="13">
        <v>3958</v>
      </c>
      <c r="H229" s="14">
        <v>184.76</v>
      </c>
      <c r="I229" s="14">
        <v>183.32</v>
      </c>
    </row>
    <row r="230" spans="1:9" x14ac:dyDescent="0.3">
      <c r="A230" s="11" t="s">
        <v>510</v>
      </c>
      <c r="B230" s="12">
        <v>46293</v>
      </c>
      <c r="C230" s="11" t="s">
        <v>54</v>
      </c>
      <c r="D230" s="11" t="s">
        <v>27</v>
      </c>
      <c r="E230" s="11" t="s">
        <v>511</v>
      </c>
      <c r="F230" s="11" t="s">
        <v>56</v>
      </c>
      <c r="G230" s="13">
        <v>2393654</v>
      </c>
      <c r="H230" s="14">
        <v>1.0983799999999999</v>
      </c>
      <c r="I230" s="14">
        <v>1.0987899999999999</v>
      </c>
    </row>
    <row r="231" spans="1:9" x14ac:dyDescent="0.3">
      <c r="A231" s="11" t="s">
        <v>512</v>
      </c>
      <c r="B231" s="12">
        <v>46293</v>
      </c>
      <c r="C231" s="11" t="s">
        <v>39</v>
      </c>
      <c r="D231" s="11" t="s">
        <v>110</v>
      </c>
      <c r="E231" s="11" t="s">
        <v>513</v>
      </c>
      <c r="F231" s="11" t="s">
        <v>41</v>
      </c>
      <c r="G231" s="13">
        <v>4854</v>
      </c>
      <c r="H231" s="14">
        <v>280.13</v>
      </c>
      <c r="I231" s="14">
        <v>278.66000000000003</v>
      </c>
    </row>
    <row r="232" spans="1:9" x14ac:dyDescent="0.3">
      <c r="A232" s="11" t="s">
        <v>514</v>
      </c>
      <c r="B232" s="12">
        <v>46293</v>
      </c>
      <c r="C232" s="11" t="s">
        <v>50</v>
      </c>
      <c r="D232" s="11" t="s">
        <v>515</v>
      </c>
      <c r="E232" s="11" t="s">
        <v>516</v>
      </c>
      <c r="F232" s="11" t="s">
        <v>52</v>
      </c>
      <c r="G232" s="13">
        <v>14624</v>
      </c>
      <c r="H232" s="14">
        <v>93.028000000000006</v>
      </c>
      <c r="I232" s="14">
        <v>93.272000000000006</v>
      </c>
    </row>
    <row r="233" spans="1:9" x14ac:dyDescent="0.3">
      <c r="A233" s="11" t="s">
        <v>517</v>
      </c>
      <c r="B233" s="12">
        <v>46293</v>
      </c>
      <c r="C233" s="11" t="s">
        <v>50</v>
      </c>
      <c r="D233" s="11" t="s">
        <v>25</v>
      </c>
      <c r="E233" s="11" t="s">
        <v>518</v>
      </c>
      <c r="F233" s="11" t="s">
        <v>52</v>
      </c>
      <c r="G233" s="13">
        <v>5182</v>
      </c>
      <c r="H233" s="14">
        <v>105.44799999999999</v>
      </c>
      <c r="I233" s="14">
        <v>105.197</v>
      </c>
    </row>
    <row r="234" spans="1:9" x14ac:dyDescent="0.3">
      <c r="A234" s="11" t="s">
        <v>519</v>
      </c>
      <c r="B234" s="12">
        <v>46293</v>
      </c>
      <c r="C234" s="11" t="s">
        <v>43</v>
      </c>
      <c r="D234" s="11" t="s">
        <v>27</v>
      </c>
      <c r="E234" s="11" t="s">
        <v>520</v>
      </c>
      <c r="F234" s="11" t="s">
        <v>41</v>
      </c>
      <c r="G234" s="13">
        <v>3420259</v>
      </c>
      <c r="H234" s="14">
        <v>1.5926899999999999</v>
      </c>
      <c r="I234" s="14">
        <v>1.5945400000000001</v>
      </c>
    </row>
    <row r="235" spans="1:9" x14ac:dyDescent="0.3">
      <c r="A235" s="11" t="s">
        <v>521</v>
      </c>
      <c r="B235" s="12">
        <v>46293</v>
      </c>
      <c r="C235" s="11" t="s">
        <v>43</v>
      </c>
      <c r="D235" s="11" t="s">
        <v>27</v>
      </c>
      <c r="E235" s="11" t="s">
        <v>522</v>
      </c>
      <c r="F235" s="11" t="s">
        <v>41</v>
      </c>
      <c r="G235" s="13">
        <v>4511997</v>
      </c>
      <c r="H235" s="14">
        <v>1.4697</v>
      </c>
      <c r="I235" s="14">
        <v>1.4680299999999999</v>
      </c>
    </row>
    <row r="236" spans="1:9" x14ac:dyDescent="0.3">
      <c r="A236" s="11" t="s">
        <v>523</v>
      </c>
      <c r="B236" s="12">
        <v>46293</v>
      </c>
      <c r="C236" s="11" t="s">
        <v>50</v>
      </c>
      <c r="D236" s="11" t="s">
        <v>25</v>
      </c>
      <c r="E236" s="11" t="s">
        <v>524</v>
      </c>
      <c r="F236" s="11" t="s">
        <v>52</v>
      </c>
      <c r="G236" s="13">
        <v>11710</v>
      </c>
      <c r="H236" s="14">
        <v>92.805000000000007</v>
      </c>
      <c r="I236" s="14">
        <v>92.921000000000006</v>
      </c>
    </row>
    <row r="237" spans="1:9" x14ac:dyDescent="0.3">
      <c r="A237" s="11" t="s">
        <v>525</v>
      </c>
      <c r="B237" s="12">
        <v>46293</v>
      </c>
      <c r="C237" s="11" t="s">
        <v>43</v>
      </c>
      <c r="D237" s="11" t="s">
        <v>27</v>
      </c>
      <c r="E237" s="11" t="s">
        <v>526</v>
      </c>
      <c r="F237" s="11" t="s">
        <v>41</v>
      </c>
      <c r="G237" s="13">
        <v>1247387</v>
      </c>
      <c r="H237" s="14">
        <v>1.27776</v>
      </c>
      <c r="I237" s="14">
        <v>1.27827</v>
      </c>
    </row>
    <row r="238" spans="1:9" x14ac:dyDescent="0.3">
      <c r="A238" s="11" t="s">
        <v>527</v>
      </c>
      <c r="B238" s="12">
        <v>46293</v>
      </c>
      <c r="C238" s="11" t="s">
        <v>43</v>
      </c>
      <c r="D238" s="11" t="s">
        <v>27</v>
      </c>
      <c r="E238" s="11" t="s">
        <v>528</v>
      </c>
      <c r="F238" s="11" t="s">
        <v>41</v>
      </c>
      <c r="G238" s="13">
        <v>2089825</v>
      </c>
      <c r="H238" s="14">
        <v>0.79922000000000004</v>
      </c>
      <c r="I238" s="14">
        <v>0.80025000000000002</v>
      </c>
    </row>
    <row r="239" spans="1:9" x14ac:dyDescent="0.3">
      <c r="A239" s="11" t="s">
        <v>529</v>
      </c>
      <c r="B239" s="12">
        <v>46293</v>
      </c>
      <c r="C239" s="11" t="s">
        <v>39</v>
      </c>
      <c r="D239" s="11" t="s">
        <v>24</v>
      </c>
      <c r="E239" s="11" t="s">
        <v>530</v>
      </c>
      <c r="F239" s="11" t="s">
        <v>41</v>
      </c>
      <c r="G239" s="13">
        <v>12125</v>
      </c>
      <c r="H239" s="14">
        <v>59.25</v>
      </c>
      <c r="I239" s="14">
        <v>60.86</v>
      </c>
    </row>
    <row r="240" spans="1:9" x14ac:dyDescent="0.3">
      <c r="A240" s="11" t="s">
        <v>531</v>
      </c>
      <c r="B240" s="12">
        <v>46293</v>
      </c>
      <c r="C240" s="11" t="s">
        <v>39</v>
      </c>
      <c r="D240" s="11" t="s">
        <v>24</v>
      </c>
      <c r="E240" s="11" t="s">
        <v>532</v>
      </c>
      <c r="F240" s="11" t="s">
        <v>41</v>
      </c>
      <c r="G240" s="13">
        <v>14140</v>
      </c>
      <c r="H240" s="14">
        <v>39.840000000000003</v>
      </c>
      <c r="I240" s="14">
        <v>39.82</v>
      </c>
    </row>
    <row r="241" spans="1:9" x14ac:dyDescent="0.3">
      <c r="A241" s="11" t="s">
        <v>533</v>
      </c>
      <c r="B241" s="12">
        <v>46293</v>
      </c>
      <c r="C241" s="11" t="s">
        <v>46</v>
      </c>
      <c r="D241" s="11" t="s">
        <v>25</v>
      </c>
      <c r="E241" s="11" t="s">
        <v>534</v>
      </c>
      <c r="F241" s="11" t="s">
        <v>48</v>
      </c>
      <c r="G241" s="13">
        <v>13423</v>
      </c>
      <c r="H241" s="14">
        <v>103.155</v>
      </c>
      <c r="I241" s="14">
        <v>103.31399999999999</v>
      </c>
    </row>
    <row r="242" spans="1:9" x14ac:dyDescent="0.3">
      <c r="A242" s="11" t="s">
        <v>535</v>
      </c>
      <c r="B242" s="12">
        <v>46293</v>
      </c>
      <c r="C242" s="11" t="s">
        <v>96</v>
      </c>
      <c r="D242" s="11" t="s">
        <v>26</v>
      </c>
      <c r="E242" s="11" t="s">
        <v>536</v>
      </c>
      <c r="F242" s="11" t="s">
        <v>52</v>
      </c>
      <c r="G242" s="13">
        <v>18844</v>
      </c>
      <c r="H242" s="14">
        <v>99.400999999999996</v>
      </c>
      <c r="I242" s="14">
        <v>99.358000000000004</v>
      </c>
    </row>
    <row r="243" spans="1:9" x14ac:dyDescent="0.3">
      <c r="A243" s="11" t="s">
        <v>537</v>
      </c>
      <c r="B243" s="12">
        <v>46293</v>
      </c>
      <c r="C243" s="11" t="s">
        <v>50</v>
      </c>
      <c r="D243" s="11" t="s">
        <v>25</v>
      </c>
      <c r="E243" s="11" t="s">
        <v>538</v>
      </c>
      <c r="F243" s="11" t="s">
        <v>52</v>
      </c>
      <c r="G243" s="13">
        <v>5884</v>
      </c>
      <c r="H243" s="14">
        <v>93.203999999999994</v>
      </c>
      <c r="I243" s="14">
        <v>93.283000000000001</v>
      </c>
    </row>
    <row r="244" spans="1:9" x14ac:dyDescent="0.3">
      <c r="A244" s="11" t="s">
        <v>539</v>
      </c>
      <c r="B244" s="12">
        <v>46293</v>
      </c>
      <c r="C244" s="11" t="s">
        <v>39</v>
      </c>
      <c r="D244" s="11" t="s">
        <v>24</v>
      </c>
      <c r="E244" s="11" t="s">
        <v>540</v>
      </c>
      <c r="F244" s="11" t="s">
        <v>41</v>
      </c>
      <c r="G244" s="13">
        <v>6888</v>
      </c>
      <c r="H244" s="14">
        <v>280.89</v>
      </c>
      <c r="I244" s="14">
        <v>281.05</v>
      </c>
    </row>
    <row r="245" spans="1:9" x14ac:dyDescent="0.3">
      <c r="A245" s="11" t="s">
        <v>541</v>
      </c>
      <c r="B245" s="12">
        <v>46293</v>
      </c>
      <c r="C245" s="11" t="s">
        <v>54</v>
      </c>
      <c r="D245" s="11" t="s">
        <v>27</v>
      </c>
      <c r="E245" s="11" t="s">
        <v>542</v>
      </c>
      <c r="F245" s="11" t="s">
        <v>56</v>
      </c>
      <c r="G245" s="13">
        <v>1495568</v>
      </c>
      <c r="H245" s="14">
        <v>1.3603700000000001</v>
      </c>
      <c r="I245" s="14">
        <v>1.3483000000000001</v>
      </c>
    </row>
    <row r="246" spans="1:9" x14ac:dyDescent="0.3">
      <c r="A246" s="11" t="s">
        <v>543</v>
      </c>
      <c r="B246" s="12">
        <v>46293</v>
      </c>
      <c r="C246" s="11" t="s">
        <v>39</v>
      </c>
      <c r="D246" s="11" t="s">
        <v>24</v>
      </c>
      <c r="E246" s="11" t="s">
        <v>544</v>
      </c>
      <c r="F246" s="11" t="s">
        <v>41</v>
      </c>
      <c r="G246" s="13">
        <v>9165</v>
      </c>
      <c r="H246" s="14">
        <v>121.36</v>
      </c>
      <c r="I246" s="14">
        <v>121.6</v>
      </c>
    </row>
    <row r="247" spans="1:9" x14ac:dyDescent="0.3">
      <c r="A247" s="11" t="s">
        <v>545</v>
      </c>
      <c r="B247" s="12">
        <v>46293</v>
      </c>
      <c r="C247" s="11" t="s">
        <v>60</v>
      </c>
      <c r="D247" s="11" t="s">
        <v>24</v>
      </c>
      <c r="E247" s="11" t="s">
        <v>546</v>
      </c>
      <c r="F247" s="11" t="s">
        <v>56</v>
      </c>
      <c r="G247" s="13">
        <v>32121</v>
      </c>
      <c r="H247" s="14">
        <v>187.7</v>
      </c>
      <c r="I247" s="14">
        <v>188.87</v>
      </c>
    </row>
    <row r="248" spans="1:9" x14ac:dyDescent="0.3">
      <c r="A248" s="11" t="s">
        <v>547</v>
      </c>
      <c r="B248" s="12">
        <v>46293</v>
      </c>
      <c r="C248" s="11" t="s">
        <v>96</v>
      </c>
      <c r="D248" s="11" t="s">
        <v>26</v>
      </c>
      <c r="E248" s="11" t="s">
        <v>548</v>
      </c>
      <c r="F248" s="11" t="s">
        <v>52</v>
      </c>
      <c r="G248" s="13">
        <v>19087</v>
      </c>
      <c r="H248" s="14">
        <v>97.918999999999997</v>
      </c>
      <c r="I248" s="14">
        <v>97.853999999999999</v>
      </c>
    </row>
    <row r="249" spans="1:9" x14ac:dyDescent="0.3">
      <c r="A249" s="11" t="s">
        <v>549</v>
      </c>
      <c r="B249" s="12">
        <v>46293</v>
      </c>
      <c r="C249" s="11" t="s">
        <v>46</v>
      </c>
      <c r="D249" s="11" t="s">
        <v>25</v>
      </c>
      <c r="E249" s="11" t="s">
        <v>550</v>
      </c>
      <c r="F249" s="11" t="s">
        <v>48</v>
      </c>
      <c r="G249" s="13">
        <v>8457</v>
      </c>
      <c r="H249" s="14">
        <v>96.882999999999996</v>
      </c>
      <c r="I249" s="14">
        <v>97.016999999999996</v>
      </c>
    </row>
    <row r="250" spans="1:9" x14ac:dyDescent="0.3">
      <c r="A250" s="11" t="s">
        <v>551</v>
      </c>
      <c r="B250" s="12">
        <v>46293</v>
      </c>
      <c r="C250" s="11" t="s">
        <v>50</v>
      </c>
      <c r="D250" s="11" t="s">
        <v>25</v>
      </c>
      <c r="E250" s="11" t="s">
        <v>552</v>
      </c>
      <c r="F250" s="11" t="s">
        <v>52</v>
      </c>
      <c r="G250" s="13">
        <v>13298</v>
      </c>
      <c r="H250" s="14">
        <v>106.86199999999999</v>
      </c>
      <c r="I250" s="14">
        <v>107.383</v>
      </c>
    </row>
    <row r="251" spans="1:9" x14ac:dyDescent="0.3">
      <c r="A251" s="11" t="s">
        <v>553</v>
      </c>
      <c r="B251" s="12">
        <v>46293</v>
      </c>
      <c r="C251" s="11" t="s">
        <v>39</v>
      </c>
      <c r="D251" s="11" t="s">
        <v>24</v>
      </c>
      <c r="E251" s="11" t="s">
        <v>554</v>
      </c>
      <c r="F251" s="11" t="s">
        <v>41</v>
      </c>
      <c r="G251" s="13">
        <v>24907</v>
      </c>
      <c r="H251" s="14">
        <v>246</v>
      </c>
      <c r="I251" s="14">
        <v>246.19</v>
      </c>
    </row>
    <row r="252" spans="1:9" x14ac:dyDescent="0.3">
      <c r="A252" s="11" t="s">
        <v>555</v>
      </c>
      <c r="B252" s="12">
        <v>46293</v>
      </c>
      <c r="C252" s="11" t="s">
        <v>50</v>
      </c>
      <c r="D252" s="11" t="s">
        <v>25</v>
      </c>
      <c r="E252" s="11" t="s">
        <v>556</v>
      </c>
      <c r="F252" s="11" t="s">
        <v>52</v>
      </c>
      <c r="G252" s="13">
        <v>8361</v>
      </c>
      <c r="H252" s="14">
        <v>105.095</v>
      </c>
      <c r="I252" s="14">
        <v>105.092</v>
      </c>
    </row>
    <row r="253" spans="1:9" x14ac:dyDescent="0.3">
      <c r="A253" s="11" t="s">
        <v>557</v>
      </c>
      <c r="B253" s="12">
        <v>46293</v>
      </c>
      <c r="C253" s="11" t="s">
        <v>96</v>
      </c>
      <c r="D253" s="11" t="s">
        <v>26</v>
      </c>
      <c r="E253" s="11" t="s">
        <v>558</v>
      </c>
      <c r="F253" s="11" t="s">
        <v>52</v>
      </c>
      <c r="G253" s="13">
        <v>14380</v>
      </c>
      <c r="H253" s="14">
        <v>99.76</v>
      </c>
      <c r="I253" s="14"/>
    </row>
    <row r="254" spans="1:9" x14ac:dyDescent="0.3">
      <c r="A254" s="11" t="s">
        <v>559</v>
      </c>
      <c r="B254" s="12">
        <v>46293</v>
      </c>
      <c r="C254" s="11" t="s">
        <v>39</v>
      </c>
      <c r="D254" s="11" t="s">
        <v>24</v>
      </c>
      <c r="E254" s="11" t="s">
        <v>560</v>
      </c>
      <c r="F254" s="11" t="s">
        <v>41</v>
      </c>
      <c r="G254" s="13">
        <v>3429</v>
      </c>
      <c r="H254" s="14">
        <v>273.49</v>
      </c>
      <c r="I254" s="14">
        <v>274.29000000000002</v>
      </c>
    </row>
    <row r="255" spans="1:9" x14ac:dyDescent="0.3">
      <c r="A255" s="11" t="s">
        <v>541</v>
      </c>
      <c r="B255" s="12">
        <v>46293</v>
      </c>
      <c r="C255" s="11" t="s">
        <v>54</v>
      </c>
      <c r="D255" s="11" t="s">
        <v>27</v>
      </c>
      <c r="E255" s="11" t="s">
        <v>542</v>
      </c>
      <c r="F255" s="11" t="s">
        <v>56</v>
      </c>
      <c r="G255" s="13">
        <v>1495568</v>
      </c>
      <c r="H255" s="14">
        <v>1.3603700000000001</v>
      </c>
      <c r="I255" s="14">
        <v>1.3483000000000001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5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8.6640625" defaultRowHeight="14.4" x14ac:dyDescent="0.3"/>
  <cols>
    <col min="1" max="1" width="11" customWidth="1"/>
    <col min="2" max="2" width="20" customWidth="1"/>
    <col min="3" max="3" width="18" customWidth="1"/>
    <col min="4" max="4" width="12" customWidth="1"/>
    <col min="5" max="5" width="13" customWidth="1"/>
    <col min="6" max="6" width="16" customWidth="1"/>
    <col min="7" max="8" width="12" customWidth="1"/>
    <col min="9" max="9" width="18" customWidth="1"/>
    <col min="10" max="10" width="24" customWidth="1"/>
    <col min="11" max="11" width="12" customWidth="1"/>
    <col min="12" max="12" width="16" customWidth="1"/>
  </cols>
  <sheetData>
    <row r="1" spans="1:12" ht="30" customHeight="1" x14ac:dyDescent="0.3">
      <c r="A1" s="5" t="s">
        <v>29</v>
      </c>
      <c r="B1" s="5" t="s">
        <v>31</v>
      </c>
      <c r="C1" s="5" t="s">
        <v>561</v>
      </c>
      <c r="D1" s="5" t="s">
        <v>35</v>
      </c>
      <c r="E1" s="5" t="s">
        <v>562</v>
      </c>
      <c r="F1" s="5" t="s">
        <v>563</v>
      </c>
      <c r="G1" s="5" t="s">
        <v>564</v>
      </c>
      <c r="H1" s="5" t="s">
        <v>565</v>
      </c>
      <c r="I1" s="5" t="s">
        <v>566</v>
      </c>
      <c r="J1" s="5" t="s">
        <v>567</v>
      </c>
      <c r="K1" s="5" t="s">
        <v>568</v>
      </c>
      <c r="L1" s="5" t="s">
        <v>569</v>
      </c>
    </row>
    <row r="2" spans="1:12" x14ac:dyDescent="0.3">
      <c r="A2" s="15" t="str">
        <f>Raw_Data!A2</f>
        <v>P0001</v>
      </c>
      <c r="B2" s="15" t="str">
        <f>Raw_Data!C2</f>
        <v>Singapore Equities</v>
      </c>
      <c r="C2" s="11" t="str">
        <f>IFERROR(INDEX(Thresholds!$A$2:$A$5,MATCH(TRIM(Raw_Data!D2),Thresholds!$A$2:$A$5,0)),"UNMAPPED")</f>
        <v>Equity</v>
      </c>
      <c r="D2" s="16">
        <f>Raw_Data!G2</f>
        <v>36166</v>
      </c>
      <c r="E2" s="17">
        <f>Raw_Data!H2</f>
        <v>149.54</v>
      </c>
      <c r="F2" s="14">
        <f>IF(Raw_Data!I2="","",Raw_Data!I2)</f>
        <v>149.33000000000001</v>
      </c>
      <c r="G2" s="18">
        <f t="shared" ref="G2:G65" si="0">IF(F2="","",(E2-F2)/F2)</f>
        <v>1.4062813902094658E-3</v>
      </c>
      <c r="H2" s="19">
        <f>IFERROR(INDEX(Thresholds!$B$2:$B$5,MATCH(C2,Thresholds!$A$2:$A$5,0)),"")</f>
        <v>0.01</v>
      </c>
      <c r="I2" s="20">
        <f t="shared" ref="I2:I65" si="1">IF(F2="","",D2*(E2-F2))</f>
        <v>7594.8599999992603</v>
      </c>
      <c r="J2" s="11" t="str">
        <f t="shared" ref="J2:J65" si="2">IF(C2="UNMAPPED","UNMAPPED ASSET CLASS",IF(F2="","NO INDEPENDENT PRICE",IF(ABS(G2)&gt;H2,"BREACH","OK")))</f>
        <v>OK</v>
      </c>
      <c r="K2" s="11" t="str">
        <f>IF(COUNTIF(Raw_Data!$A$2:A2,Raw_Data!A2)&gt;1,"DUP","UNIQUE")</f>
        <v>UNIQUE</v>
      </c>
      <c r="L2" s="11" t="str">
        <f>IF(Raw_Data!B2&lt;&gt;Thresholds!$E$1,"STALE","CURRENT")</f>
        <v>CURRENT</v>
      </c>
    </row>
    <row r="3" spans="1:12" x14ac:dyDescent="0.3">
      <c r="A3" s="15" t="str">
        <f>Raw_Data!A3</f>
        <v>P0002</v>
      </c>
      <c r="B3" s="15" t="str">
        <f>Raw_Data!C3</f>
        <v>Singapore FX</v>
      </c>
      <c r="C3" s="11" t="str">
        <f>IFERROR(INDEX(Thresholds!$A$2:$A$5,MATCH(TRIM(Raw_Data!D3),Thresholds!$A$2:$A$5,0)),"UNMAPPED")</f>
        <v>FX Forward</v>
      </c>
      <c r="D3" s="16">
        <f>Raw_Data!G3</f>
        <v>4061266</v>
      </c>
      <c r="E3" s="17">
        <f>Raw_Data!H3</f>
        <v>1.43472</v>
      </c>
      <c r="F3" s="14">
        <f>IF(Raw_Data!I3="","",Raw_Data!I3)</f>
        <v>1.43723</v>
      </c>
      <c r="G3" s="18">
        <f t="shared" si="0"/>
        <v>-1.7464149788134205E-3</v>
      </c>
      <c r="H3" s="19">
        <f>IFERROR(INDEX(Thresholds!$B$2:$B$5,MATCH(C3,Thresholds!$A$2:$A$5,0)),"")</f>
        <v>3.0000000000000001E-3</v>
      </c>
      <c r="I3" s="20">
        <f t="shared" si="1"/>
        <v>-10193.777660000049</v>
      </c>
      <c r="J3" s="11" t="str">
        <f t="shared" si="2"/>
        <v>OK</v>
      </c>
      <c r="K3" s="11" t="str">
        <f>IF(COUNTIF(Raw_Data!$A$2:A3,Raw_Data!A3)&gt;1,"DUP","UNIQUE")</f>
        <v>UNIQUE</v>
      </c>
      <c r="L3" s="11" t="str">
        <f>IF(Raw_Data!B3&lt;&gt;Thresholds!$E$1,"STALE","CURRENT")</f>
        <v>CURRENT</v>
      </c>
    </row>
    <row r="4" spans="1:12" x14ac:dyDescent="0.3">
      <c r="A4" s="15" t="str">
        <f>Raw_Data!A4</f>
        <v>P0003</v>
      </c>
      <c r="B4" s="15" t="str">
        <f>Raw_Data!C4</f>
        <v>New York Credit</v>
      </c>
      <c r="C4" s="11" t="str">
        <f>IFERROR(INDEX(Thresholds!$A$2:$A$5,MATCH(TRIM(Raw_Data!D4),Thresholds!$A$2:$A$5,0)),"UNMAPPED")</f>
        <v>Corporate Bond</v>
      </c>
      <c r="D4" s="16">
        <f>Raw_Data!G4</f>
        <v>15502</v>
      </c>
      <c r="E4" s="17">
        <f>Raw_Data!H4</f>
        <v>107.20099999999999</v>
      </c>
      <c r="F4" s="14">
        <f>IF(Raw_Data!I4="","",Raw_Data!I4)</f>
        <v>107.128</v>
      </c>
      <c r="G4" s="18">
        <f t="shared" si="0"/>
        <v>6.8142782465828997E-4</v>
      </c>
      <c r="H4" s="19">
        <f>IFERROR(INDEX(Thresholds!$B$2:$B$5,MATCH(C4,Thresholds!$A$2:$A$5,0)),"")</f>
        <v>5.0000000000000001E-3</v>
      </c>
      <c r="I4" s="20">
        <f t="shared" si="1"/>
        <v>1131.645999999896</v>
      </c>
      <c r="J4" s="11" t="str">
        <f t="shared" si="2"/>
        <v>OK</v>
      </c>
      <c r="K4" s="11" t="str">
        <f>IF(COUNTIF(Raw_Data!$A$2:A4,Raw_Data!A4)&gt;1,"DUP","UNIQUE")</f>
        <v>UNIQUE</v>
      </c>
      <c r="L4" s="11" t="str">
        <f>IF(Raw_Data!B4&lt;&gt;Thresholds!$E$1,"STALE","CURRENT")</f>
        <v>CURRENT</v>
      </c>
    </row>
    <row r="5" spans="1:12" x14ac:dyDescent="0.3">
      <c r="A5" s="15" t="str">
        <f>Raw_Data!A5</f>
        <v>P0004</v>
      </c>
      <c r="B5" s="15" t="str">
        <f>Raw_Data!C5</f>
        <v>London Credit</v>
      </c>
      <c r="C5" s="11" t="str">
        <f>IFERROR(INDEX(Thresholds!$A$2:$A$5,MATCH(TRIM(Raw_Data!D5),Thresholds!$A$2:$A$5,0)),"UNMAPPED")</f>
        <v>Corporate Bond</v>
      </c>
      <c r="D5" s="16">
        <f>Raw_Data!G5</f>
        <v>1316</v>
      </c>
      <c r="E5" s="17">
        <f>Raw_Data!H5</f>
        <v>103.86</v>
      </c>
      <c r="F5" s="14">
        <f>IF(Raw_Data!I5="","",Raw_Data!I5)</f>
        <v>104.121</v>
      </c>
      <c r="G5" s="18">
        <f t="shared" si="0"/>
        <v>-2.5066989368138577E-3</v>
      </c>
      <c r="H5" s="19">
        <f>IFERROR(INDEX(Thresholds!$B$2:$B$5,MATCH(C5,Thresholds!$A$2:$A$5,0)),"")</f>
        <v>5.0000000000000001E-3</v>
      </c>
      <c r="I5" s="20">
        <f t="shared" si="1"/>
        <v>-343.47599999999431</v>
      </c>
      <c r="J5" s="11" t="str">
        <f t="shared" si="2"/>
        <v>OK</v>
      </c>
      <c r="K5" s="11" t="str">
        <f>IF(COUNTIF(Raw_Data!$A$2:A5,Raw_Data!A5)&gt;1,"DUP","UNIQUE")</f>
        <v>UNIQUE</v>
      </c>
      <c r="L5" s="11" t="str">
        <f>IF(Raw_Data!B5&lt;&gt;Thresholds!$E$1,"STALE","CURRENT")</f>
        <v>CURRENT</v>
      </c>
    </row>
    <row r="6" spans="1:12" x14ac:dyDescent="0.3">
      <c r="A6" s="15" t="str">
        <f>Raw_Data!A6</f>
        <v>P0005</v>
      </c>
      <c r="B6" s="15" t="str">
        <f>Raw_Data!C6</f>
        <v>Zurich FX</v>
      </c>
      <c r="C6" s="11" t="str">
        <f>IFERROR(INDEX(Thresholds!$A$2:$A$5,MATCH(TRIM(Raw_Data!D6),Thresholds!$A$2:$A$5,0)),"UNMAPPED")</f>
        <v>FX Forward</v>
      </c>
      <c r="D6" s="16">
        <f>Raw_Data!G6</f>
        <v>4847348</v>
      </c>
      <c r="E6" s="17">
        <f>Raw_Data!H6</f>
        <v>1.13117</v>
      </c>
      <c r="F6" s="14">
        <f>IF(Raw_Data!I6="","",Raw_Data!I6)</f>
        <v>1.1295900000000001</v>
      </c>
      <c r="G6" s="18">
        <f t="shared" si="0"/>
        <v>1.3987375950565378E-3</v>
      </c>
      <c r="H6" s="19">
        <f>IFERROR(INDEX(Thresholds!$B$2:$B$5,MATCH(C6,Thresholds!$A$2:$A$5,0)),"")</f>
        <v>3.0000000000000001E-3</v>
      </c>
      <c r="I6" s="20">
        <f t="shared" si="1"/>
        <v>7658.809839999587</v>
      </c>
      <c r="J6" s="11" t="str">
        <f t="shared" si="2"/>
        <v>OK</v>
      </c>
      <c r="K6" s="11" t="str">
        <f>IF(COUNTIF(Raw_Data!$A$2:A6,Raw_Data!A6)&gt;1,"DUP","UNIQUE")</f>
        <v>UNIQUE</v>
      </c>
      <c r="L6" s="11" t="str">
        <f>IF(Raw_Data!B6&lt;&gt;Thresholds!$E$1,"STALE","CURRENT")</f>
        <v>CURRENT</v>
      </c>
    </row>
    <row r="7" spans="1:12" x14ac:dyDescent="0.3">
      <c r="A7" s="15" t="str">
        <f>Raw_Data!A7</f>
        <v>P0006</v>
      </c>
      <c r="B7" s="15" t="str">
        <f>Raw_Data!C7</f>
        <v>Singapore FX</v>
      </c>
      <c r="C7" s="11" t="str">
        <f>IFERROR(INDEX(Thresholds!$A$2:$A$5,MATCH(TRIM(Raw_Data!D7),Thresholds!$A$2:$A$5,0)),"UNMAPPED")</f>
        <v>FX Forward</v>
      </c>
      <c r="D7" s="16">
        <f>Raw_Data!G7</f>
        <v>1694942</v>
      </c>
      <c r="E7" s="17">
        <f>Raw_Data!H7</f>
        <v>0.81899999999999995</v>
      </c>
      <c r="F7" s="14">
        <f>IF(Raw_Data!I7="","",Raw_Data!I7)</f>
        <v>0.82021999999999995</v>
      </c>
      <c r="G7" s="18">
        <f t="shared" si="0"/>
        <v>-1.4874058179512801E-3</v>
      </c>
      <c r="H7" s="19">
        <f>IFERROR(INDEX(Thresholds!$B$2:$B$5,MATCH(C7,Thresholds!$A$2:$A$5,0)),"")</f>
        <v>3.0000000000000001E-3</v>
      </c>
      <c r="I7" s="20">
        <f t="shared" si="1"/>
        <v>-2067.8292399999982</v>
      </c>
      <c r="J7" s="11" t="str">
        <f t="shared" si="2"/>
        <v>OK</v>
      </c>
      <c r="K7" s="11" t="str">
        <f>IF(COUNTIF(Raw_Data!$A$2:A7,Raw_Data!A7)&gt;1,"DUP","UNIQUE")</f>
        <v>UNIQUE</v>
      </c>
      <c r="L7" s="11" t="str">
        <f>IF(Raw_Data!B7&lt;&gt;Thresholds!$E$1,"STALE","CURRENT")</f>
        <v>CURRENT</v>
      </c>
    </row>
    <row r="8" spans="1:12" x14ac:dyDescent="0.3">
      <c r="A8" s="15" t="str">
        <f>Raw_Data!A8</f>
        <v>P0007</v>
      </c>
      <c r="B8" s="15" t="str">
        <f>Raw_Data!C8</f>
        <v>Zurich Equities</v>
      </c>
      <c r="C8" s="11" t="str">
        <f>IFERROR(INDEX(Thresholds!$A$2:$A$5,MATCH(TRIM(Raw_Data!D8),Thresholds!$A$2:$A$5,0)),"UNMAPPED")</f>
        <v>Equity</v>
      </c>
      <c r="D8" s="16">
        <f>Raw_Data!G8</f>
        <v>47824</v>
      </c>
      <c r="E8" s="17">
        <f>Raw_Data!H8</f>
        <v>36.97</v>
      </c>
      <c r="F8" s="14">
        <f>IF(Raw_Data!I8="","",Raw_Data!I8)</f>
        <v>37.020000000000003</v>
      </c>
      <c r="G8" s="18">
        <f t="shared" si="0"/>
        <v>-1.3506212857915792E-3</v>
      </c>
      <c r="H8" s="19">
        <f>IFERROR(INDEX(Thresholds!$B$2:$B$5,MATCH(C8,Thresholds!$A$2:$A$5,0)),"")</f>
        <v>0.01</v>
      </c>
      <c r="I8" s="20">
        <f t="shared" si="1"/>
        <v>-2391.200000000204</v>
      </c>
      <c r="J8" s="11" t="str">
        <f t="shared" si="2"/>
        <v>OK</v>
      </c>
      <c r="K8" s="11" t="str">
        <f>IF(COUNTIF(Raw_Data!$A$2:A8,Raw_Data!A8)&gt;1,"DUP","UNIQUE")</f>
        <v>UNIQUE</v>
      </c>
      <c r="L8" s="11" t="str">
        <f>IF(Raw_Data!B8&lt;&gt;Thresholds!$E$1,"STALE","CURRENT")</f>
        <v>CURRENT</v>
      </c>
    </row>
    <row r="9" spans="1:12" x14ac:dyDescent="0.3">
      <c r="A9" s="15" t="str">
        <f>Raw_Data!A9</f>
        <v>P0008</v>
      </c>
      <c r="B9" s="15" t="str">
        <f>Raw_Data!C9</f>
        <v>New York Credit</v>
      </c>
      <c r="C9" s="11" t="str">
        <f>IFERROR(INDEX(Thresholds!$A$2:$A$5,MATCH(TRIM(Raw_Data!D9),Thresholds!$A$2:$A$5,0)),"UNMAPPED")</f>
        <v>Corporate Bond</v>
      </c>
      <c r="D9" s="16">
        <f>Raw_Data!G9</f>
        <v>1904</v>
      </c>
      <c r="E9" s="17">
        <f>Raw_Data!H9</f>
        <v>102.872</v>
      </c>
      <c r="F9" s="14">
        <f>IF(Raw_Data!I9="","",Raw_Data!I9)</f>
        <v>102.744</v>
      </c>
      <c r="G9" s="18">
        <f t="shared" si="0"/>
        <v>1.2458148407692917E-3</v>
      </c>
      <c r="H9" s="19">
        <f>IFERROR(INDEX(Thresholds!$B$2:$B$5,MATCH(C9,Thresholds!$A$2:$A$5,0)),"")</f>
        <v>5.0000000000000001E-3</v>
      </c>
      <c r="I9" s="20">
        <f t="shared" si="1"/>
        <v>243.71200000000022</v>
      </c>
      <c r="J9" s="11" t="str">
        <f t="shared" si="2"/>
        <v>OK</v>
      </c>
      <c r="K9" s="11" t="str">
        <f>IF(COUNTIF(Raw_Data!$A$2:A9,Raw_Data!A9)&gt;1,"DUP","UNIQUE")</f>
        <v>UNIQUE</v>
      </c>
      <c r="L9" s="11" t="str">
        <f>IF(Raw_Data!B9&lt;&gt;Thresholds!$E$1,"STALE","CURRENT")</f>
        <v>CURRENT</v>
      </c>
    </row>
    <row r="10" spans="1:12" x14ac:dyDescent="0.3">
      <c r="A10" s="15" t="str">
        <f>Raw_Data!A10</f>
        <v>P0009</v>
      </c>
      <c r="B10" s="15" t="str">
        <f>Raw_Data!C10</f>
        <v>London Credit</v>
      </c>
      <c r="C10" s="11" t="str">
        <f>IFERROR(INDEX(Thresholds!$A$2:$A$5,MATCH(TRIM(Raw_Data!D10),Thresholds!$A$2:$A$5,0)),"UNMAPPED")</f>
        <v>Corporate Bond</v>
      </c>
      <c r="D10" s="16">
        <f>Raw_Data!G10</f>
        <v>4748</v>
      </c>
      <c r="E10" s="17">
        <f>Raw_Data!H10</f>
        <v>101.941</v>
      </c>
      <c r="F10" s="14">
        <f>IF(Raw_Data!I10="","",Raw_Data!I10)</f>
        <v>101.92</v>
      </c>
      <c r="G10" s="18">
        <f t="shared" si="0"/>
        <v>2.0604395604396385E-4</v>
      </c>
      <c r="H10" s="19">
        <f>IFERROR(INDEX(Thresholds!$B$2:$B$5,MATCH(C10,Thresholds!$A$2:$A$5,0)),"")</f>
        <v>5.0000000000000001E-3</v>
      </c>
      <c r="I10" s="20">
        <f t="shared" si="1"/>
        <v>99.708000000003778</v>
      </c>
      <c r="J10" s="11" t="str">
        <f t="shared" si="2"/>
        <v>OK</v>
      </c>
      <c r="K10" s="11" t="str">
        <f>IF(COUNTIF(Raw_Data!$A$2:A10,Raw_Data!A10)&gt;1,"DUP","UNIQUE")</f>
        <v>UNIQUE</v>
      </c>
      <c r="L10" s="11" t="str">
        <f>IF(Raw_Data!B10&lt;&gt;Thresholds!$E$1,"STALE","CURRENT")</f>
        <v>CURRENT</v>
      </c>
    </row>
    <row r="11" spans="1:12" x14ac:dyDescent="0.3">
      <c r="A11" s="15" t="str">
        <f>Raw_Data!A11</f>
        <v>P0010</v>
      </c>
      <c r="B11" s="15" t="str">
        <f>Raw_Data!C11</f>
        <v>Zurich Equities</v>
      </c>
      <c r="C11" s="11" t="str">
        <f>IFERROR(INDEX(Thresholds!$A$2:$A$5,MATCH(TRIM(Raw_Data!D11),Thresholds!$A$2:$A$5,0)),"UNMAPPED")</f>
        <v>Equity</v>
      </c>
      <c r="D11" s="16">
        <f>Raw_Data!G11</f>
        <v>23319</v>
      </c>
      <c r="E11" s="17">
        <f>Raw_Data!H11</f>
        <v>204.52</v>
      </c>
      <c r="F11" s="14">
        <f>IF(Raw_Data!I11="","",Raw_Data!I11)</f>
        <v>204.34</v>
      </c>
      <c r="G11" s="18">
        <f t="shared" si="0"/>
        <v>8.8088479984343158E-4</v>
      </c>
      <c r="H11" s="19">
        <f>IFERROR(INDEX(Thresholds!$B$2:$B$5,MATCH(C11,Thresholds!$A$2:$A$5,0)),"")</f>
        <v>0.01</v>
      </c>
      <c r="I11" s="20">
        <f t="shared" si="1"/>
        <v>4197.4200000001592</v>
      </c>
      <c r="J11" s="11" t="str">
        <f t="shared" si="2"/>
        <v>OK</v>
      </c>
      <c r="K11" s="11" t="str">
        <f>IF(COUNTIF(Raw_Data!$A$2:A11,Raw_Data!A11)&gt;1,"DUP","UNIQUE")</f>
        <v>UNIQUE</v>
      </c>
      <c r="L11" s="11" t="str">
        <f>IF(Raw_Data!B11&lt;&gt;Thresholds!$E$1,"STALE","CURRENT")</f>
        <v>CURRENT</v>
      </c>
    </row>
    <row r="12" spans="1:12" x14ac:dyDescent="0.3">
      <c r="A12" s="15" t="str">
        <f>Raw_Data!A12</f>
        <v>P0011</v>
      </c>
      <c r="B12" s="15" t="str">
        <f>Raw_Data!C12</f>
        <v>Singapore FX</v>
      </c>
      <c r="C12" s="11" t="str">
        <f>IFERROR(INDEX(Thresholds!$A$2:$A$5,MATCH(TRIM(Raw_Data!D12),Thresholds!$A$2:$A$5,0)),"UNMAPPED")</f>
        <v>FX Forward</v>
      </c>
      <c r="D12" s="16">
        <f>Raw_Data!G12</f>
        <v>1309263</v>
      </c>
      <c r="E12" s="17">
        <f>Raw_Data!H12</f>
        <v>0.61534999999999995</v>
      </c>
      <c r="F12" s="14">
        <f>IF(Raw_Data!I12="","",Raw_Data!I12)</f>
        <v>0.61606000000000005</v>
      </c>
      <c r="G12" s="18">
        <f t="shared" si="0"/>
        <v>-1.1524851475507246E-3</v>
      </c>
      <c r="H12" s="19">
        <f>IFERROR(INDEX(Thresholds!$B$2:$B$5,MATCH(C12,Thresholds!$A$2:$A$5,0)),"")</f>
        <v>3.0000000000000001E-3</v>
      </c>
      <c r="I12" s="20">
        <f t="shared" si="1"/>
        <v>-929.57673000013017</v>
      </c>
      <c r="J12" s="11" t="str">
        <f t="shared" si="2"/>
        <v>OK</v>
      </c>
      <c r="K12" s="11" t="str">
        <f>IF(COUNTIF(Raw_Data!$A$2:A12,Raw_Data!A12)&gt;1,"DUP","UNIQUE")</f>
        <v>UNIQUE</v>
      </c>
      <c r="L12" s="11" t="str">
        <f>IF(Raw_Data!B12&lt;&gt;Thresholds!$E$1,"STALE","CURRENT")</f>
        <v>CURRENT</v>
      </c>
    </row>
    <row r="13" spans="1:12" x14ac:dyDescent="0.3">
      <c r="A13" s="15" t="str">
        <f>Raw_Data!A13</f>
        <v>P0012</v>
      </c>
      <c r="B13" s="15" t="str">
        <f>Raw_Data!C13</f>
        <v>New York Credit</v>
      </c>
      <c r="C13" s="11" t="str">
        <f>IFERROR(INDEX(Thresholds!$A$2:$A$5,MATCH(TRIM(Raw_Data!D13),Thresholds!$A$2:$A$5,0)),"UNMAPPED")</f>
        <v>Corporate Bond</v>
      </c>
      <c r="D13" s="16">
        <f>Raw_Data!G13</f>
        <v>15488</v>
      </c>
      <c r="E13" s="17">
        <f>Raw_Data!H13</f>
        <v>99.44</v>
      </c>
      <c r="F13" s="14">
        <f>IF(Raw_Data!I13="","",Raw_Data!I13)</f>
        <v>99.438999999999993</v>
      </c>
      <c r="G13" s="18">
        <f t="shared" si="0"/>
        <v>1.0056416496593639E-5</v>
      </c>
      <c r="H13" s="19">
        <f>IFERROR(INDEX(Thresholds!$B$2:$B$5,MATCH(C13,Thresholds!$A$2:$A$5,0)),"")</f>
        <v>5.0000000000000001E-3</v>
      </c>
      <c r="I13" s="20">
        <f t="shared" si="1"/>
        <v>15.488000000073953</v>
      </c>
      <c r="J13" s="11" t="str">
        <f t="shared" si="2"/>
        <v>OK</v>
      </c>
      <c r="K13" s="11" t="str">
        <f>IF(COUNTIF(Raw_Data!$A$2:A13,Raw_Data!A13)&gt;1,"DUP","UNIQUE")</f>
        <v>UNIQUE</v>
      </c>
      <c r="L13" s="11" t="str">
        <f>IF(Raw_Data!B13&lt;&gt;Thresholds!$E$1,"STALE","CURRENT")</f>
        <v>CURRENT</v>
      </c>
    </row>
    <row r="14" spans="1:12" x14ac:dyDescent="0.3">
      <c r="A14" s="15" t="str">
        <f>Raw_Data!A14</f>
        <v>P0013</v>
      </c>
      <c r="B14" s="15" t="str">
        <f>Raw_Data!C14</f>
        <v>London Credit</v>
      </c>
      <c r="C14" s="11" t="str">
        <f>IFERROR(INDEX(Thresholds!$A$2:$A$5,MATCH(TRIM(Raw_Data!D14),Thresholds!$A$2:$A$5,0)),"UNMAPPED")</f>
        <v>Corporate Bond</v>
      </c>
      <c r="D14" s="16">
        <f>Raw_Data!G14</f>
        <v>11885</v>
      </c>
      <c r="E14" s="17">
        <f>Raw_Data!H14</f>
        <v>94.87</v>
      </c>
      <c r="F14" s="14">
        <f>IF(Raw_Data!I14="","",Raw_Data!I14)</f>
        <v>94.935000000000002</v>
      </c>
      <c r="G14" s="18">
        <f t="shared" si="0"/>
        <v>-6.8467899088847867E-4</v>
      </c>
      <c r="H14" s="19">
        <f>IFERROR(INDEX(Thresholds!$B$2:$B$5,MATCH(C14,Thresholds!$A$2:$A$5,0)),"")</f>
        <v>5.0000000000000001E-3</v>
      </c>
      <c r="I14" s="20">
        <f t="shared" si="1"/>
        <v>-772.52499999997303</v>
      </c>
      <c r="J14" s="11" t="str">
        <f t="shared" si="2"/>
        <v>OK</v>
      </c>
      <c r="K14" s="11" t="str">
        <f>IF(COUNTIF(Raw_Data!$A$2:A14,Raw_Data!A14)&gt;1,"DUP","UNIQUE")</f>
        <v>UNIQUE</v>
      </c>
      <c r="L14" s="11" t="str">
        <f>IF(Raw_Data!B14&lt;&gt;Thresholds!$E$1,"STALE","CURRENT")</f>
        <v>CURRENT</v>
      </c>
    </row>
    <row r="15" spans="1:12" x14ac:dyDescent="0.3">
      <c r="A15" s="15" t="str">
        <f>Raw_Data!A15</f>
        <v>P0014</v>
      </c>
      <c r="B15" s="15" t="str">
        <f>Raw_Data!C15</f>
        <v>Singapore Equities</v>
      </c>
      <c r="C15" s="11" t="str">
        <f>IFERROR(INDEX(Thresholds!$A$2:$A$5,MATCH(TRIM(Raw_Data!D15),Thresholds!$A$2:$A$5,0)),"UNMAPPED")</f>
        <v>Equity</v>
      </c>
      <c r="D15" s="16">
        <f>Raw_Data!G15</f>
        <v>9250</v>
      </c>
      <c r="E15" s="17">
        <f>Raw_Data!H15</f>
        <v>60</v>
      </c>
      <c r="F15" s="14">
        <f>IF(Raw_Data!I15="","",Raw_Data!I15)</f>
        <v>61.38</v>
      </c>
      <c r="G15" s="18">
        <f t="shared" si="0"/>
        <v>-2.2482893450635425E-2</v>
      </c>
      <c r="H15" s="19">
        <f>IFERROR(INDEX(Thresholds!$B$2:$B$5,MATCH(C15,Thresholds!$A$2:$A$5,0)),"")</f>
        <v>0.01</v>
      </c>
      <c r="I15" s="20">
        <f t="shared" si="1"/>
        <v>-12765.000000000024</v>
      </c>
      <c r="J15" s="11" t="str">
        <f t="shared" si="2"/>
        <v>BREACH</v>
      </c>
      <c r="K15" s="11" t="str">
        <f>IF(COUNTIF(Raw_Data!$A$2:A15,Raw_Data!A15)&gt;1,"DUP","UNIQUE")</f>
        <v>UNIQUE</v>
      </c>
      <c r="L15" s="11" t="str">
        <f>IF(Raw_Data!B15&lt;&gt;Thresholds!$E$1,"STALE","CURRENT")</f>
        <v>CURRENT</v>
      </c>
    </row>
    <row r="16" spans="1:12" x14ac:dyDescent="0.3">
      <c r="A16" s="15" t="str">
        <f>Raw_Data!A16</f>
        <v>P0007</v>
      </c>
      <c r="B16" s="15" t="str">
        <f>Raw_Data!C16</f>
        <v>Zurich Equities</v>
      </c>
      <c r="C16" s="11" t="str">
        <f>IFERROR(INDEX(Thresholds!$A$2:$A$5,MATCH(TRIM(Raw_Data!D16),Thresholds!$A$2:$A$5,0)),"UNMAPPED")</f>
        <v>Equity</v>
      </c>
      <c r="D16" s="16">
        <f>Raw_Data!G16</f>
        <v>47824</v>
      </c>
      <c r="E16" s="17">
        <f>Raw_Data!H16</f>
        <v>36.97</v>
      </c>
      <c r="F16" s="14">
        <f>IF(Raw_Data!I16="","",Raw_Data!I16)</f>
        <v>37.020000000000003</v>
      </c>
      <c r="G16" s="18">
        <f t="shared" si="0"/>
        <v>-1.3506212857915792E-3</v>
      </c>
      <c r="H16" s="19">
        <f>IFERROR(INDEX(Thresholds!$B$2:$B$5,MATCH(C16,Thresholds!$A$2:$A$5,0)),"")</f>
        <v>0.01</v>
      </c>
      <c r="I16" s="20">
        <f t="shared" si="1"/>
        <v>-2391.200000000204</v>
      </c>
      <c r="J16" s="11" t="str">
        <f t="shared" si="2"/>
        <v>OK</v>
      </c>
      <c r="K16" s="11" t="str">
        <f>IF(COUNTIF(Raw_Data!$A$2:A16,Raw_Data!A16)&gt;1,"DUP","UNIQUE")</f>
        <v>DUP</v>
      </c>
      <c r="L16" s="11" t="str">
        <f>IF(Raw_Data!B16&lt;&gt;Thresholds!$E$1,"STALE","CURRENT")</f>
        <v>CURRENT</v>
      </c>
    </row>
    <row r="17" spans="1:12" x14ac:dyDescent="0.3">
      <c r="A17" s="15" t="str">
        <f>Raw_Data!A17</f>
        <v>P0015</v>
      </c>
      <c r="B17" s="15" t="str">
        <f>Raw_Data!C17</f>
        <v>New York Rates</v>
      </c>
      <c r="C17" s="11" t="str">
        <f>IFERROR(INDEX(Thresholds!$A$2:$A$5,MATCH(TRIM(Raw_Data!D17),Thresholds!$A$2:$A$5,0)),"UNMAPPED")</f>
        <v>Government Bond</v>
      </c>
      <c r="D17" s="16">
        <f>Raw_Data!G17</f>
        <v>14122</v>
      </c>
      <c r="E17" s="17">
        <f>Raw_Data!H17</f>
        <v>98.305999999999997</v>
      </c>
      <c r="F17" s="14">
        <f>IF(Raw_Data!I17="","",Raw_Data!I17)</f>
        <v>98.27</v>
      </c>
      <c r="G17" s="18">
        <f t="shared" si="0"/>
        <v>3.6633764119264645E-4</v>
      </c>
      <c r="H17" s="19">
        <f>IFERROR(INDEX(Thresholds!$B$2:$B$5,MATCH(C17,Thresholds!$A$2:$A$5,0)),"")</f>
        <v>2.5000000000000001E-3</v>
      </c>
      <c r="I17" s="20">
        <f t="shared" si="1"/>
        <v>508.39200000001927</v>
      </c>
      <c r="J17" s="11" t="str">
        <f t="shared" si="2"/>
        <v>OK</v>
      </c>
      <c r="K17" s="11" t="str">
        <f>IF(COUNTIF(Raw_Data!$A$2:A17,Raw_Data!A17)&gt;1,"DUP","UNIQUE")</f>
        <v>UNIQUE</v>
      </c>
      <c r="L17" s="11" t="str">
        <f>IF(Raw_Data!B17&lt;&gt;Thresholds!$E$1,"STALE","CURRENT")</f>
        <v>CURRENT</v>
      </c>
    </row>
    <row r="18" spans="1:12" x14ac:dyDescent="0.3">
      <c r="A18" s="15" t="str">
        <f>Raw_Data!A18</f>
        <v>P0016</v>
      </c>
      <c r="B18" s="15" t="str">
        <f>Raw_Data!C18</f>
        <v>London Credit</v>
      </c>
      <c r="C18" s="11" t="str">
        <f>IFERROR(INDEX(Thresholds!$A$2:$A$5,MATCH(TRIM(Raw_Data!D18),Thresholds!$A$2:$A$5,0)),"UNMAPPED")</f>
        <v>Corporate Bond</v>
      </c>
      <c r="D18" s="16">
        <f>Raw_Data!G18</f>
        <v>14510</v>
      </c>
      <c r="E18" s="17">
        <f>Raw_Data!H18</f>
        <v>105.834</v>
      </c>
      <c r="F18" s="14">
        <f>IF(Raw_Data!I18="","",Raw_Data!I18)</f>
        <v>105.35899999999999</v>
      </c>
      <c r="G18" s="18">
        <f t="shared" si="0"/>
        <v>4.508395106255835E-3</v>
      </c>
      <c r="H18" s="19">
        <f>IFERROR(INDEX(Thresholds!$B$2:$B$5,MATCH(C18,Thresholds!$A$2:$A$5,0)),"")</f>
        <v>5.0000000000000001E-3</v>
      </c>
      <c r="I18" s="20">
        <f t="shared" si="1"/>
        <v>6892.2500000001237</v>
      </c>
      <c r="J18" s="11" t="str">
        <f t="shared" si="2"/>
        <v>OK</v>
      </c>
      <c r="K18" s="11" t="str">
        <f>IF(COUNTIF(Raw_Data!$A$2:A18,Raw_Data!A18)&gt;1,"DUP","UNIQUE")</f>
        <v>UNIQUE</v>
      </c>
      <c r="L18" s="11" t="str">
        <f>IF(Raw_Data!B18&lt;&gt;Thresholds!$E$1,"STALE","CURRENT")</f>
        <v>CURRENT</v>
      </c>
    </row>
    <row r="19" spans="1:12" x14ac:dyDescent="0.3">
      <c r="A19" s="15" t="str">
        <f>Raw_Data!A19</f>
        <v>P0017</v>
      </c>
      <c r="B19" s="15" t="str">
        <f>Raw_Data!C19</f>
        <v>London Credit</v>
      </c>
      <c r="C19" s="11" t="str">
        <f>IFERROR(INDEX(Thresholds!$A$2:$A$5,MATCH(TRIM(Raw_Data!D19),Thresholds!$A$2:$A$5,0)),"UNMAPPED")</f>
        <v>Corporate Bond</v>
      </c>
      <c r="D19" s="16">
        <f>Raw_Data!G19</f>
        <v>3750</v>
      </c>
      <c r="E19" s="17">
        <f>Raw_Data!H19</f>
        <v>106.511</v>
      </c>
      <c r="F19" s="14">
        <f>IF(Raw_Data!I19="","",Raw_Data!I19)</f>
        <v>106.84099999999999</v>
      </c>
      <c r="G19" s="18">
        <f t="shared" si="0"/>
        <v>-3.0887019028275503E-3</v>
      </c>
      <c r="H19" s="19">
        <f>IFERROR(INDEX(Thresholds!$B$2:$B$5,MATCH(C19,Thresholds!$A$2:$A$5,0)),"")</f>
        <v>5.0000000000000001E-3</v>
      </c>
      <c r="I19" s="20">
        <f t="shared" si="1"/>
        <v>-1237.4999999999936</v>
      </c>
      <c r="J19" s="11" t="str">
        <f t="shared" si="2"/>
        <v>OK</v>
      </c>
      <c r="K19" s="11" t="str">
        <f>IF(COUNTIF(Raw_Data!$A$2:A19,Raw_Data!A19)&gt;1,"DUP","UNIQUE")</f>
        <v>UNIQUE</v>
      </c>
      <c r="L19" s="11" t="str">
        <f>IF(Raw_Data!B19&lt;&gt;Thresholds!$E$1,"STALE","CURRENT")</f>
        <v>CURRENT</v>
      </c>
    </row>
    <row r="20" spans="1:12" x14ac:dyDescent="0.3">
      <c r="A20" s="15" t="str">
        <f>Raw_Data!A20</f>
        <v>P0018</v>
      </c>
      <c r="B20" s="15" t="str">
        <f>Raw_Data!C20</f>
        <v>Zurich Equities</v>
      </c>
      <c r="C20" s="11" t="str">
        <f>IFERROR(INDEX(Thresholds!$A$2:$A$5,MATCH(TRIM(Raw_Data!D20),Thresholds!$A$2:$A$5,0)),"UNMAPPED")</f>
        <v>Equity</v>
      </c>
      <c r="D20" s="16">
        <f>Raw_Data!G20</f>
        <v>4590</v>
      </c>
      <c r="E20" s="17">
        <f>Raw_Data!H20</f>
        <v>258.38</v>
      </c>
      <c r="F20" s="14">
        <f>IF(Raw_Data!I20="","",Raw_Data!I20)</f>
        <v>258.99</v>
      </c>
      <c r="G20" s="18">
        <f t="shared" si="0"/>
        <v>-2.3553032935635107E-3</v>
      </c>
      <c r="H20" s="19">
        <f>IFERROR(INDEX(Thresholds!$B$2:$B$5,MATCH(C20,Thresholds!$A$2:$A$5,0)),"")</f>
        <v>0.01</v>
      </c>
      <c r="I20" s="20">
        <f t="shared" si="1"/>
        <v>-2799.9000000000624</v>
      </c>
      <c r="J20" s="11" t="str">
        <f t="shared" si="2"/>
        <v>OK</v>
      </c>
      <c r="K20" s="11" t="str">
        <f>IF(COUNTIF(Raw_Data!$A$2:A20,Raw_Data!A20)&gt;1,"DUP","UNIQUE")</f>
        <v>UNIQUE</v>
      </c>
      <c r="L20" s="11" t="str">
        <f>IF(Raw_Data!B20&lt;&gt;Thresholds!$E$1,"STALE","CURRENT")</f>
        <v>CURRENT</v>
      </c>
    </row>
    <row r="21" spans="1:12" x14ac:dyDescent="0.3">
      <c r="A21" s="15" t="str">
        <f>Raw_Data!A21</f>
        <v>P0019</v>
      </c>
      <c r="B21" s="15" t="str">
        <f>Raw_Data!C21</f>
        <v>New York Rates</v>
      </c>
      <c r="C21" s="11" t="str">
        <f>IFERROR(INDEX(Thresholds!$A$2:$A$5,MATCH(TRIM(Raw_Data!D21),Thresholds!$A$2:$A$5,0)),"UNMAPPED")</f>
        <v>Government Bond</v>
      </c>
      <c r="D21" s="16">
        <f>Raw_Data!G21</f>
        <v>13092</v>
      </c>
      <c r="E21" s="17">
        <f>Raw_Data!H21</f>
        <v>101.312</v>
      </c>
      <c r="F21" s="14">
        <f>IF(Raw_Data!I21="","",Raw_Data!I21)</f>
        <v>101.27200000000001</v>
      </c>
      <c r="G21" s="18">
        <f t="shared" si="0"/>
        <v>3.9497590646962673E-4</v>
      </c>
      <c r="H21" s="19">
        <f>IFERROR(INDEX(Thresholds!$B$2:$B$5,MATCH(C21,Thresholds!$A$2:$A$5,0)),"")</f>
        <v>2.5000000000000001E-3</v>
      </c>
      <c r="I21" s="20">
        <f t="shared" si="1"/>
        <v>523.67999999989581</v>
      </c>
      <c r="J21" s="11" t="str">
        <f t="shared" si="2"/>
        <v>OK</v>
      </c>
      <c r="K21" s="11" t="str">
        <f>IF(COUNTIF(Raw_Data!$A$2:A21,Raw_Data!A21)&gt;1,"DUP","UNIQUE")</f>
        <v>UNIQUE</v>
      </c>
      <c r="L21" s="11" t="str">
        <f>IF(Raw_Data!B21&lt;&gt;Thresholds!$E$1,"STALE","CURRENT")</f>
        <v>CURRENT</v>
      </c>
    </row>
    <row r="22" spans="1:12" x14ac:dyDescent="0.3">
      <c r="A22" s="15" t="str">
        <f>Raw_Data!A22</f>
        <v>P0020</v>
      </c>
      <c r="B22" s="15" t="str">
        <f>Raw_Data!C22</f>
        <v>Singapore Equities</v>
      </c>
      <c r="C22" s="11" t="str">
        <f>IFERROR(INDEX(Thresholds!$A$2:$A$5,MATCH(TRIM(Raw_Data!D22),Thresholds!$A$2:$A$5,0)),"UNMAPPED")</f>
        <v>Equity</v>
      </c>
      <c r="D22" s="16">
        <f>Raw_Data!G22</f>
        <v>35246</v>
      </c>
      <c r="E22" s="17">
        <f>Raw_Data!H22</f>
        <v>244.17</v>
      </c>
      <c r="F22" s="14">
        <f>IF(Raw_Data!I22="","",Raw_Data!I22)</f>
        <v>243.56</v>
      </c>
      <c r="G22" s="18">
        <f t="shared" si="0"/>
        <v>2.5045163409426227E-3</v>
      </c>
      <c r="H22" s="19">
        <f>IFERROR(INDEX(Thresholds!$B$2:$B$5,MATCH(C22,Thresholds!$A$2:$A$5,0)),"")</f>
        <v>0.01</v>
      </c>
      <c r="I22" s="20">
        <f t="shared" si="1"/>
        <v>21500.059999999477</v>
      </c>
      <c r="J22" s="11" t="str">
        <f t="shared" si="2"/>
        <v>OK</v>
      </c>
      <c r="K22" s="11" t="str">
        <f>IF(COUNTIF(Raw_Data!$A$2:A22,Raw_Data!A22)&gt;1,"DUP","UNIQUE")</f>
        <v>UNIQUE</v>
      </c>
      <c r="L22" s="11" t="str">
        <f>IF(Raw_Data!B22&lt;&gt;Thresholds!$E$1,"STALE","CURRENT")</f>
        <v>CURRENT</v>
      </c>
    </row>
    <row r="23" spans="1:12" x14ac:dyDescent="0.3">
      <c r="A23" s="15" t="str">
        <f>Raw_Data!A23</f>
        <v>P0021</v>
      </c>
      <c r="B23" s="15" t="str">
        <f>Raw_Data!C23</f>
        <v>New York Credit</v>
      </c>
      <c r="C23" s="11" t="str">
        <f>IFERROR(INDEX(Thresholds!$A$2:$A$5,MATCH(TRIM(Raw_Data!D23),Thresholds!$A$2:$A$5,0)),"UNMAPPED")</f>
        <v>Corporate Bond</v>
      </c>
      <c r="D23" s="16">
        <f>Raw_Data!G23</f>
        <v>6064</v>
      </c>
      <c r="E23" s="17">
        <f>Raw_Data!H23</f>
        <v>107.581</v>
      </c>
      <c r="F23" s="14">
        <f>IF(Raw_Data!I23="","",Raw_Data!I23)</f>
        <v>107.456</v>
      </c>
      <c r="G23" s="18">
        <f t="shared" si="0"/>
        <v>1.1632668254913639E-3</v>
      </c>
      <c r="H23" s="19">
        <f>IFERROR(INDEX(Thresholds!$B$2:$B$5,MATCH(C23,Thresholds!$A$2:$A$5,0)),"")</f>
        <v>5.0000000000000001E-3</v>
      </c>
      <c r="I23" s="20">
        <f t="shared" si="1"/>
        <v>758</v>
      </c>
      <c r="J23" s="11" t="str">
        <f t="shared" si="2"/>
        <v>OK</v>
      </c>
      <c r="K23" s="11" t="str">
        <f>IF(COUNTIF(Raw_Data!$A$2:A23,Raw_Data!A23)&gt;1,"DUP","UNIQUE")</f>
        <v>UNIQUE</v>
      </c>
      <c r="L23" s="11" t="str">
        <f>IF(Raw_Data!B23&lt;&gt;Thresholds!$E$1,"STALE","CURRENT")</f>
        <v>CURRENT</v>
      </c>
    </row>
    <row r="24" spans="1:12" x14ac:dyDescent="0.3">
      <c r="A24" s="15" t="str">
        <f>Raw_Data!A24</f>
        <v>P0022</v>
      </c>
      <c r="B24" s="15" t="str">
        <f>Raw_Data!C24</f>
        <v>New York Credit</v>
      </c>
      <c r="C24" s="11" t="str">
        <f>IFERROR(INDEX(Thresholds!$A$2:$A$5,MATCH(TRIM(Raw_Data!D24),Thresholds!$A$2:$A$5,0)),"UNMAPPED")</f>
        <v>Corporate Bond</v>
      </c>
      <c r="D24" s="16">
        <f>Raw_Data!G24</f>
        <v>13423</v>
      </c>
      <c r="E24" s="17">
        <f>Raw_Data!H24</f>
        <v>104.18</v>
      </c>
      <c r="F24" s="14">
        <f>IF(Raw_Data!I24="","",Raw_Data!I24)</f>
        <v>104.056</v>
      </c>
      <c r="G24" s="18">
        <f t="shared" si="0"/>
        <v>1.1916660259860983E-3</v>
      </c>
      <c r="H24" s="19">
        <f>IFERROR(INDEX(Thresholds!$B$2:$B$5,MATCH(C24,Thresholds!$A$2:$A$5,0)),"")</f>
        <v>5.0000000000000001E-3</v>
      </c>
      <c r="I24" s="20">
        <f t="shared" si="1"/>
        <v>1664.4520000001266</v>
      </c>
      <c r="J24" s="11" t="str">
        <f t="shared" si="2"/>
        <v>OK</v>
      </c>
      <c r="K24" s="11" t="str">
        <f>IF(COUNTIF(Raw_Data!$A$2:A24,Raw_Data!A24)&gt;1,"DUP","UNIQUE")</f>
        <v>UNIQUE</v>
      </c>
      <c r="L24" s="11" t="str">
        <f>IF(Raw_Data!B24&lt;&gt;Thresholds!$E$1,"STALE","CURRENT")</f>
        <v>CURRENT</v>
      </c>
    </row>
    <row r="25" spans="1:12" x14ac:dyDescent="0.3">
      <c r="A25" s="15" t="str">
        <f>Raw_Data!A25</f>
        <v>P0023</v>
      </c>
      <c r="B25" s="15" t="str">
        <f>Raw_Data!C25</f>
        <v>London Credit</v>
      </c>
      <c r="C25" s="11" t="str">
        <f>IFERROR(INDEX(Thresholds!$A$2:$A$5,MATCH(TRIM(Raw_Data!D25),Thresholds!$A$2:$A$5,0)),"UNMAPPED")</f>
        <v>Corporate Bond</v>
      </c>
      <c r="D25" s="16">
        <f>Raw_Data!G25</f>
        <v>9943</v>
      </c>
      <c r="E25" s="17">
        <f>Raw_Data!H25</f>
        <v>99.811999999999998</v>
      </c>
      <c r="F25" s="14">
        <f>IF(Raw_Data!I25="","",Raw_Data!I25)</f>
        <v>100.306</v>
      </c>
      <c r="G25" s="18">
        <f t="shared" si="0"/>
        <v>-4.9249297150718782E-3</v>
      </c>
      <c r="H25" s="19">
        <f>IFERROR(INDEX(Thresholds!$B$2:$B$5,MATCH(C25,Thresholds!$A$2:$A$5,0)),"")</f>
        <v>5.0000000000000001E-3</v>
      </c>
      <c r="I25" s="20">
        <f t="shared" si="1"/>
        <v>-4911.8419999999978</v>
      </c>
      <c r="J25" s="11" t="str">
        <f t="shared" si="2"/>
        <v>OK</v>
      </c>
      <c r="K25" s="11" t="str">
        <f>IF(COUNTIF(Raw_Data!$A$2:A25,Raw_Data!A25)&gt;1,"DUP","UNIQUE")</f>
        <v>UNIQUE</v>
      </c>
      <c r="L25" s="11" t="str">
        <f>IF(Raw_Data!B25&lt;&gt;Thresholds!$E$1,"STALE","CURRENT")</f>
        <v>CURRENT</v>
      </c>
    </row>
    <row r="26" spans="1:12" x14ac:dyDescent="0.3">
      <c r="A26" s="15" t="str">
        <f>Raw_Data!A26</f>
        <v>P0024</v>
      </c>
      <c r="B26" s="15" t="str">
        <f>Raw_Data!C26</f>
        <v>London Rates</v>
      </c>
      <c r="C26" s="11" t="str">
        <f>IFERROR(INDEX(Thresholds!$A$2:$A$5,MATCH(TRIM(Raw_Data!D26),Thresholds!$A$2:$A$5,0)),"UNMAPPED")</f>
        <v>Government Bond</v>
      </c>
      <c r="D26" s="16">
        <f>Raw_Data!G26</f>
        <v>8841</v>
      </c>
      <c r="E26" s="17">
        <f>Raw_Data!H26</f>
        <v>96.230999999999995</v>
      </c>
      <c r="F26" s="14">
        <f>IF(Raw_Data!I26="","",Raw_Data!I26)</f>
        <v>96.275999999999996</v>
      </c>
      <c r="G26" s="18">
        <f t="shared" si="0"/>
        <v>-4.6740620715444872E-4</v>
      </c>
      <c r="H26" s="19">
        <f>IFERROR(INDEX(Thresholds!$B$2:$B$5,MATCH(C26,Thresholds!$A$2:$A$5,0)),"")</f>
        <v>2.5000000000000001E-3</v>
      </c>
      <c r="I26" s="20">
        <f t="shared" si="1"/>
        <v>-397.84500000001509</v>
      </c>
      <c r="J26" s="11" t="str">
        <f t="shared" si="2"/>
        <v>OK</v>
      </c>
      <c r="K26" s="11" t="str">
        <f>IF(COUNTIF(Raw_Data!$A$2:A26,Raw_Data!A26)&gt;1,"DUP","UNIQUE")</f>
        <v>UNIQUE</v>
      </c>
      <c r="L26" s="11" t="str">
        <f>IF(Raw_Data!B26&lt;&gt;Thresholds!$E$1,"STALE","CURRENT")</f>
        <v>CURRENT</v>
      </c>
    </row>
    <row r="27" spans="1:12" x14ac:dyDescent="0.3">
      <c r="A27" s="15" t="str">
        <f>Raw_Data!A27</f>
        <v>P0025</v>
      </c>
      <c r="B27" s="15" t="str">
        <f>Raw_Data!C27</f>
        <v>New York Credit</v>
      </c>
      <c r="C27" s="11" t="str">
        <f>IFERROR(INDEX(Thresholds!$A$2:$A$5,MATCH(TRIM(Raw_Data!D27),Thresholds!$A$2:$A$5,0)),"UNMAPPED")</f>
        <v>Corporate Bond</v>
      </c>
      <c r="D27" s="16">
        <f>Raw_Data!G27</f>
        <v>19864</v>
      </c>
      <c r="E27" s="17">
        <f>Raw_Data!H27</f>
        <v>106.477</v>
      </c>
      <c r="F27" s="14">
        <f>IF(Raw_Data!I27="","",Raw_Data!I27)</f>
        <v>106.833</v>
      </c>
      <c r="G27" s="18">
        <f t="shared" si="0"/>
        <v>-3.3323036889350158E-3</v>
      </c>
      <c r="H27" s="19">
        <f>IFERROR(INDEX(Thresholds!$B$2:$B$5,MATCH(C27,Thresholds!$A$2:$A$5,0)),"")</f>
        <v>5.0000000000000001E-3</v>
      </c>
      <c r="I27" s="20">
        <f t="shared" si="1"/>
        <v>-7071.5839999998916</v>
      </c>
      <c r="J27" s="11" t="str">
        <f t="shared" si="2"/>
        <v>OK</v>
      </c>
      <c r="K27" s="11" t="str">
        <f>IF(COUNTIF(Raw_Data!$A$2:A27,Raw_Data!A27)&gt;1,"DUP","UNIQUE")</f>
        <v>UNIQUE</v>
      </c>
      <c r="L27" s="11" t="str">
        <f>IF(Raw_Data!B27&lt;&gt;Thresholds!$E$1,"STALE","CURRENT")</f>
        <v>CURRENT</v>
      </c>
    </row>
    <row r="28" spans="1:12" x14ac:dyDescent="0.3">
      <c r="A28" s="15" t="str">
        <f>Raw_Data!A28</f>
        <v>P0026</v>
      </c>
      <c r="B28" s="15" t="str">
        <f>Raw_Data!C28</f>
        <v>New York Rates</v>
      </c>
      <c r="C28" s="11" t="str">
        <f>IFERROR(INDEX(Thresholds!$A$2:$A$5,MATCH(TRIM(Raw_Data!D28),Thresholds!$A$2:$A$5,0)),"UNMAPPED")</f>
        <v>Government Bond</v>
      </c>
      <c r="D28" s="16">
        <f>Raw_Data!G28</f>
        <v>16976</v>
      </c>
      <c r="E28" s="17">
        <f>Raw_Data!H28</f>
        <v>98.691000000000003</v>
      </c>
      <c r="F28" s="14">
        <f>IF(Raw_Data!I28="","",Raw_Data!I28)</f>
        <v>98.778999999999996</v>
      </c>
      <c r="G28" s="18">
        <f t="shared" si="0"/>
        <v>-8.9087761568748276E-4</v>
      </c>
      <c r="H28" s="19">
        <f>IFERROR(INDEX(Thresholds!$B$2:$B$5,MATCH(C28,Thresholds!$A$2:$A$5,0)),"")</f>
        <v>2.5000000000000001E-3</v>
      </c>
      <c r="I28" s="20">
        <f t="shared" si="1"/>
        <v>-1493.8879999998958</v>
      </c>
      <c r="J28" s="11" t="str">
        <f t="shared" si="2"/>
        <v>OK</v>
      </c>
      <c r="K28" s="11" t="str">
        <f>IF(COUNTIF(Raw_Data!$A$2:A28,Raw_Data!A28)&gt;1,"DUP","UNIQUE")</f>
        <v>UNIQUE</v>
      </c>
      <c r="L28" s="11" t="str">
        <f>IF(Raw_Data!B28&lt;&gt;Thresholds!$E$1,"STALE","CURRENT")</f>
        <v>CURRENT</v>
      </c>
    </row>
    <row r="29" spans="1:12" x14ac:dyDescent="0.3">
      <c r="A29" s="15" t="str">
        <f>Raw_Data!A29</f>
        <v>P0027</v>
      </c>
      <c r="B29" s="15" t="str">
        <f>Raw_Data!C29</f>
        <v>London Credit</v>
      </c>
      <c r="C29" s="11" t="str">
        <f>IFERROR(INDEX(Thresholds!$A$2:$A$5,MATCH(TRIM(Raw_Data!D29),Thresholds!$A$2:$A$5,0)),"UNMAPPED")</f>
        <v>Corporate Bond</v>
      </c>
      <c r="D29" s="16">
        <f>Raw_Data!G29</f>
        <v>6007</v>
      </c>
      <c r="E29" s="17">
        <f>Raw_Data!H29</f>
        <v>95.7</v>
      </c>
      <c r="F29" s="14" t="str">
        <f>IF(Raw_Data!I29="","",Raw_Data!I29)</f>
        <v/>
      </c>
      <c r="G29" s="18" t="str">
        <f t="shared" si="0"/>
        <v/>
      </c>
      <c r="H29" s="19">
        <f>IFERROR(INDEX(Thresholds!$B$2:$B$5,MATCH(C29,Thresholds!$A$2:$A$5,0)),"")</f>
        <v>5.0000000000000001E-3</v>
      </c>
      <c r="I29" s="20" t="str">
        <f t="shared" si="1"/>
        <v/>
      </c>
      <c r="J29" s="11" t="str">
        <f t="shared" si="2"/>
        <v>NO INDEPENDENT PRICE</v>
      </c>
      <c r="K29" s="11" t="str">
        <f>IF(COUNTIF(Raw_Data!$A$2:A29,Raw_Data!A29)&gt;1,"DUP","UNIQUE")</f>
        <v>UNIQUE</v>
      </c>
      <c r="L29" s="11" t="str">
        <f>IF(Raw_Data!B29&lt;&gt;Thresholds!$E$1,"STALE","CURRENT")</f>
        <v>CURRENT</v>
      </c>
    </row>
    <row r="30" spans="1:12" x14ac:dyDescent="0.3">
      <c r="A30" s="15" t="str">
        <f>Raw_Data!A30</f>
        <v>P0028</v>
      </c>
      <c r="B30" s="15" t="str">
        <f>Raw_Data!C30</f>
        <v>New York Rates</v>
      </c>
      <c r="C30" s="11" t="str">
        <f>IFERROR(INDEX(Thresholds!$A$2:$A$5,MATCH(TRIM(Raw_Data!D30),Thresholds!$A$2:$A$5,0)),"UNMAPPED")</f>
        <v>UNMAPPED</v>
      </c>
      <c r="D30" s="16">
        <f>Raw_Data!G30</f>
        <v>15051</v>
      </c>
      <c r="E30" s="17">
        <f>Raw_Data!H30</f>
        <v>103.268</v>
      </c>
      <c r="F30" s="14">
        <f>IF(Raw_Data!I30="","",Raw_Data!I30)</f>
        <v>103.30800000000001</v>
      </c>
      <c r="G30" s="18">
        <f t="shared" si="0"/>
        <v>-3.8719169861004232E-4</v>
      </c>
      <c r="H30" s="19" t="str">
        <f>IFERROR(INDEX(Thresholds!$B$2:$B$5,MATCH(C30,Thresholds!$A$2:$A$5,0)),"")</f>
        <v/>
      </c>
      <c r="I30" s="20">
        <f t="shared" si="1"/>
        <v>-602.0400000000941</v>
      </c>
      <c r="J30" s="11" t="str">
        <f t="shared" si="2"/>
        <v>UNMAPPED ASSET CLASS</v>
      </c>
      <c r="K30" s="11" t="str">
        <f>IF(COUNTIF(Raw_Data!$A$2:A30,Raw_Data!A30)&gt;1,"DUP","UNIQUE")</f>
        <v>UNIQUE</v>
      </c>
      <c r="L30" s="11" t="str">
        <f>IF(Raw_Data!B30&lt;&gt;Thresholds!$E$1,"STALE","CURRENT")</f>
        <v>CURRENT</v>
      </c>
    </row>
    <row r="31" spans="1:12" x14ac:dyDescent="0.3">
      <c r="A31" s="15" t="str">
        <f>Raw_Data!A31</f>
        <v>P0029</v>
      </c>
      <c r="B31" s="15" t="str">
        <f>Raw_Data!C31</f>
        <v>New York Credit</v>
      </c>
      <c r="C31" s="11" t="str">
        <f>IFERROR(INDEX(Thresholds!$A$2:$A$5,MATCH(TRIM(Raw_Data!D31),Thresholds!$A$2:$A$5,0)),"UNMAPPED")</f>
        <v>Corporate Bond</v>
      </c>
      <c r="D31" s="16">
        <f>Raw_Data!G31</f>
        <v>19863</v>
      </c>
      <c r="E31" s="17">
        <f>Raw_Data!H31</f>
        <v>106.178</v>
      </c>
      <c r="F31" s="14">
        <f>IF(Raw_Data!I31="","",Raw_Data!I31)</f>
        <v>106.471</v>
      </c>
      <c r="G31" s="18">
        <f t="shared" si="0"/>
        <v>-2.751923058861158E-3</v>
      </c>
      <c r="H31" s="19">
        <f>IFERROR(INDEX(Thresholds!$B$2:$B$5,MATCH(C31,Thresholds!$A$2:$A$5,0)),"")</f>
        <v>5.0000000000000001E-3</v>
      </c>
      <c r="I31" s="20">
        <f t="shared" si="1"/>
        <v>-5819.8590000001268</v>
      </c>
      <c r="J31" s="11" t="str">
        <f t="shared" si="2"/>
        <v>OK</v>
      </c>
      <c r="K31" s="11" t="str">
        <f>IF(COUNTIF(Raw_Data!$A$2:A31,Raw_Data!A31)&gt;1,"DUP","UNIQUE")</f>
        <v>UNIQUE</v>
      </c>
      <c r="L31" s="11" t="str">
        <f>IF(Raw_Data!B31&lt;&gt;Thresholds!$E$1,"STALE","CURRENT")</f>
        <v>CURRENT</v>
      </c>
    </row>
    <row r="32" spans="1:12" x14ac:dyDescent="0.3">
      <c r="A32" s="15" t="str">
        <f>Raw_Data!A32</f>
        <v>P0030</v>
      </c>
      <c r="B32" s="15" t="str">
        <f>Raw_Data!C32</f>
        <v>Singapore Equities</v>
      </c>
      <c r="C32" s="11" t="str">
        <f>IFERROR(INDEX(Thresholds!$A$2:$A$5,MATCH(TRIM(Raw_Data!D32),Thresholds!$A$2:$A$5,0)),"UNMAPPED")</f>
        <v>Equity</v>
      </c>
      <c r="D32" s="16">
        <f>Raw_Data!G32</f>
        <v>15035</v>
      </c>
      <c r="E32" s="17">
        <f>Raw_Data!H32</f>
        <v>181.66</v>
      </c>
      <c r="F32" s="14">
        <f>IF(Raw_Data!I32="","",Raw_Data!I32)</f>
        <v>181.74</v>
      </c>
      <c r="G32" s="18">
        <f t="shared" si="0"/>
        <v>-4.4018928139106692E-4</v>
      </c>
      <c r="H32" s="19">
        <f>IFERROR(INDEX(Thresholds!$B$2:$B$5,MATCH(C32,Thresholds!$A$2:$A$5,0)),"")</f>
        <v>0.01</v>
      </c>
      <c r="I32" s="20">
        <f t="shared" si="1"/>
        <v>-1202.800000000188</v>
      </c>
      <c r="J32" s="11" t="str">
        <f t="shared" si="2"/>
        <v>OK</v>
      </c>
      <c r="K32" s="11" t="str">
        <f>IF(COUNTIF(Raw_Data!$A$2:A32,Raw_Data!A32)&gt;1,"DUP","UNIQUE")</f>
        <v>UNIQUE</v>
      </c>
      <c r="L32" s="11" t="str">
        <f>IF(Raw_Data!B32&lt;&gt;Thresholds!$E$1,"STALE","CURRENT")</f>
        <v>CURRENT</v>
      </c>
    </row>
    <row r="33" spans="1:12" x14ac:dyDescent="0.3">
      <c r="A33" s="15" t="str">
        <f>Raw_Data!A33</f>
        <v>P0031</v>
      </c>
      <c r="B33" s="15" t="str">
        <f>Raw_Data!C33</f>
        <v>London Rates</v>
      </c>
      <c r="C33" s="11" t="str">
        <f>IFERROR(INDEX(Thresholds!$A$2:$A$5,MATCH(TRIM(Raw_Data!D33),Thresholds!$A$2:$A$5,0)),"UNMAPPED")</f>
        <v>Government Bond</v>
      </c>
      <c r="D33" s="16">
        <f>Raw_Data!G33</f>
        <v>19672</v>
      </c>
      <c r="E33" s="17">
        <f>Raw_Data!H33</f>
        <v>102.004</v>
      </c>
      <c r="F33" s="14">
        <f>IF(Raw_Data!I33="","",Raw_Data!I33)</f>
        <v>102.042</v>
      </c>
      <c r="G33" s="18">
        <f t="shared" si="0"/>
        <v>-3.7239568021007726E-4</v>
      </c>
      <c r="H33" s="19">
        <f>IFERROR(INDEX(Thresholds!$B$2:$B$5,MATCH(C33,Thresholds!$A$2:$A$5,0)),"")</f>
        <v>2.5000000000000001E-3</v>
      </c>
      <c r="I33" s="20">
        <f t="shared" si="1"/>
        <v>-747.53599999993514</v>
      </c>
      <c r="J33" s="11" t="str">
        <f t="shared" si="2"/>
        <v>OK</v>
      </c>
      <c r="K33" s="11" t="str">
        <f>IF(COUNTIF(Raw_Data!$A$2:A33,Raw_Data!A33)&gt;1,"DUP","UNIQUE")</f>
        <v>UNIQUE</v>
      </c>
      <c r="L33" s="11" t="str">
        <f>IF(Raw_Data!B33&lt;&gt;Thresholds!$E$1,"STALE","CURRENT")</f>
        <v>CURRENT</v>
      </c>
    </row>
    <row r="34" spans="1:12" x14ac:dyDescent="0.3">
      <c r="A34" s="15" t="str">
        <f>Raw_Data!A34</f>
        <v>P0032</v>
      </c>
      <c r="B34" s="15" t="str">
        <f>Raw_Data!C34</f>
        <v>London Credit</v>
      </c>
      <c r="C34" s="11" t="str">
        <f>IFERROR(INDEX(Thresholds!$A$2:$A$5,MATCH(TRIM(Raw_Data!D34),Thresholds!$A$2:$A$5,0)),"UNMAPPED")</f>
        <v>Corporate Bond</v>
      </c>
      <c r="D34" s="16">
        <f>Raw_Data!G34</f>
        <v>9583</v>
      </c>
      <c r="E34" s="17">
        <f>Raw_Data!H34</f>
        <v>102.194</v>
      </c>
      <c r="F34" s="14">
        <f>IF(Raw_Data!I34="","",Raw_Data!I34)</f>
        <v>102.261</v>
      </c>
      <c r="G34" s="18">
        <f t="shared" si="0"/>
        <v>-6.551862391331306E-4</v>
      </c>
      <c r="H34" s="19">
        <f>IFERROR(INDEX(Thresholds!$B$2:$B$5,MATCH(C34,Thresholds!$A$2:$A$5,0)),"")</f>
        <v>5.0000000000000001E-3</v>
      </c>
      <c r="I34" s="20">
        <f t="shared" si="1"/>
        <v>-642.06099999993353</v>
      </c>
      <c r="J34" s="11" t="str">
        <f t="shared" si="2"/>
        <v>OK</v>
      </c>
      <c r="K34" s="11" t="str">
        <f>IF(COUNTIF(Raw_Data!$A$2:A34,Raw_Data!A34)&gt;1,"DUP","UNIQUE")</f>
        <v>UNIQUE</v>
      </c>
      <c r="L34" s="11" t="str">
        <f>IF(Raw_Data!B34&lt;&gt;Thresholds!$E$1,"STALE","CURRENT")</f>
        <v>CURRENT</v>
      </c>
    </row>
    <row r="35" spans="1:12" x14ac:dyDescent="0.3">
      <c r="A35" s="15" t="str">
        <f>Raw_Data!A35</f>
        <v>P0033</v>
      </c>
      <c r="B35" s="15" t="str">
        <f>Raw_Data!C35</f>
        <v>Singapore Equities</v>
      </c>
      <c r="C35" s="11" t="str">
        <f>IFERROR(INDEX(Thresholds!$A$2:$A$5,MATCH(TRIM(Raw_Data!D35),Thresholds!$A$2:$A$5,0)),"UNMAPPED")</f>
        <v>Equity</v>
      </c>
      <c r="D35" s="16">
        <f>Raw_Data!G35</f>
        <v>46207</v>
      </c>
      <c r="E35" s="17">
        <f>Raw_Data!H35</f>
        <v>253.45</v>
      </c>
      <c r="F35" s="14">
        <f>IF(Raw_Data!I35="","",Raw_Data!I35)</f>
        <v>254.29</v>
      </c>
      <c r="G35" s="18">
        <f t="shared" si="0"/>
        <v>-3.303315112666654E-3</v>
      </c>
      <c r="H35" s="19">
        <f>IFERROR(INDEX(Thresholds!$B$2:$B$5,MATCH(C35,Thresholds!$A$2:$A$5,0)),"")</f>
        <v>0.01</v>
      </c>
      <c r="I35" s="20">
        <f t="shared" si="1"/>
        <v>-38813.880000000157</v>
      </c>
      <c r="J35" s="11" t="str">
        <f t="shared" si="2"/>
        <v>OK</v>
      </c>
      <c r="K35" s="11" t="str">
        <f>IF(COUNTIF(Raw_Data!$A$2:A35,Raw_Data!A35)&gt;1,"DUP","UNIQUE")</f>
        <v>UNIQUE</v>
      </c>
      <c r="L35" s="11" t="str">
        <f>IF(Raw_Data!B35&lt;&gt;Thresholds!$E$1,"STALE","CURRENT")</f>
        <v>CURRENT</v>
      </c>
    </row>
    <row r="36" spans="1:12" x14ac:dyDescent="0.3">
      <c r="A36" s="15" t="str">
        <f>Raw_Data!A36</f>
        <v>P0034</v>
      </c>
      <c r="B36" s="15" t="str">
        <f>Raw_Data!C36</f>
        <v>New York Rates</v>
      </c>
      <c r="C36" s="11" t="str">
        <f>IFERROR(INDEX(Thresholds!$A$2:$A$5,MATCH(TRIM(Raw_Data!D36),Thresholds!$A$2:$A$5,0)),"UNMAPPED")</f>
        <v>Government Bond</v>
      </c>
      <c r="D36" s="16">
        <f>Raw_Data!G36</f>
        <v>17085</v>
      </c>
      <c r="E36" s="17">
        <f>Raw_Data!H36</f>
        <v>101.57899999999999</v>
      </c>
      <c r="F36" s="14">
        <f>IF(Raw_Data!I36="","",Raw_Data!I36)</f>
        <v>101.43600000000001</v>
      </c>
      <c r="G36" s="18">
        <f t="shared" si="0"/>
        <v>1.4097559052011757E-3</v>
      </c>
      <c r="H36" s="19">
        <f>IFERROR(INDEX(Thresholds!$B$2:$B$5,MATCH(C36,Thresholds!$A$2:$A$5,0)),"")</f>
        <v>2.5000000000000001E-3</v>
      </c>
      <c r="I36" s="20">
        <f t="shared" si="1"/>
        <v>2443.1549999997687</v>
      </c>
      <c r="J36" s="11" t="str">
        <f t="shared" si="2"/>
        <v>OK</v>
      </c>
      <c r="K36" s="11" t="str">
        <f>IF(COUNTIF(Raw_Data!$A$2:A36,Raw_Data!A36)&gt;1,"DUP","UNIQUE")</f>
        <v>UNIQUE</v>
      </c>
      <c r="L36" s="11" t="str">
        <f>IF(Raw_Data!B36&lt;&gt;Thresholds!$E$1,"STALE","CURRENT")</f>
        <v>CURRENT</v>
      </c>
    </row>
    <row r="37" spans="1:12" x14ac:dyDescent="0.3">
      <c r="A37" s="15" t="str">
        <f>Raw_Data!A37</f>
        <v>P0035</v>
      </c>
      <c r="B37" s="15" t="str">
        <f>Raw_Data!C37</f>
        <v>Singapore Equities</v>
      </c>
      <c r="C37" s="11" t="str">
        <f>IFERROR(INDEX(Thresholds!$A$2:$A$5,MATCH(TRIM(Raw_Data!D37),Thresholds!$A$2:$A$5,0)),"UNMAPPED")</f>
        <v>Equity</v>
      </c>
      <c r="D37" s="16">
        <f>Raw_Data!G37</f>
        <v>612</v>
      </c>
      <c r="E37" s="17">
        <f>Raw_Data!H37</f>
        <v>191.27</v>
      </c>
      <c r="F37" s="14">
        <f>IF(Raw_Data!I37="","",Raw_Data!I37)</f>
        <v>189.89</v>
      </c>
      <c r="G37" s="18">
        <f t="shared" si="0"/>
        <v>7.2673653167624622E-3</v>
      </c>
      <c r="H37" s="19">
        <f>IFERROR(INDEX(Thresholds!$B$2:$B$5,MATCH(C37,Thresholds!$A$2:$A$5,0)),"")</f>
        <v>0.01</v>
      </c>
      <c r="I37" s="20">
        <f t="shared" si="1"/>
        <v>844.56000000001461</v>
      </c>
      <c r="J37" s="11" t="str">
        <f t="shared" si="2"/>
        <v>OK</v>
      </c>
      <c r="K37" s="11" t="str">
        <f>IF(COUNTIF(Raw_Data!$A$2:A37,Raw_Data!A37)&gt;1,"DUP","UNIQUE")</f>
        <v>UNIQUE</v>
      </c>
      <c r="L37" s="11" t="str">
        <f>IF(Raw_Data!B37&lt;&gt;Thresholds!$E$1,"STALE","CURRENT")</f>
        <v>CURRENT</v>
      </c>
    </row>
    <row r="38" spans="1:12" x14ac:dyDescent="0.3">
      <c r="A38" s="15" t="str">
        <f>Raw_Data!A38</f>
        <v>P0036</v>
      </c>
      <c r="B38" s="15" t="str">
        <f>Raw_Data!C38</f>
        <v>New York Credit</v>
      </c>
      <c r="C38" s="11" t="str">
        <f>IFERROR(INDEX(Thresholds!$A$2:$A$5,MATCH(TRIM(Raw_Data!D38),Thresholds!$A$2:$A$5,0)),"UNMAPPED")</f>
        <v>Corporate Bond</v>
      </c>
      <c r="D38" s="16">
        <f>Raw_Data!G38</f>
        <v>11688</v>
      </c>
      <c r="E38" s="17">
        <f>Raw_Data!H38</f>
        <v>102.67</v>
      </c>
      <c r="F38" s="14">
        <f>IF(Raw_Data!I38="","",Raw_Data!I38)</f>
        <v>102.283</v>
      </c>
      <c r="G38" s="18">
        <f t="shared" si="0"/>
        <v>3.7836199563954951E-3</v>
      </c>
      <c r="H38" s="19">
        <f>IFERROR(INDEX(Thresholds!$B$2:$B$5,MATCH(C38,Thresholds!$A$2:$A$5,0)),"")</f>
        <v>5.0000000000000001E-3</v>
      </c>
      <c r="I38" s="20">
        <f t="shared" si="1"/>
        <v>4523.2560000000049</v>
      </c>
      <c r="J38" s="11" t="str">
        <f t="shared" si="2"/>
        <v>OK</v>
      </c>
      <c r="K38" s="11" t="str">
        <f>IF(COUNTIF(Raw_Data!$A$2:A38,Raw_Data!A38)&gt;1,"DUP","UNIQUE")</f>
        <v>UNIQUE</v>
      </c>
      <c r="L38" s="11" t="str">
        <f>IF(Raw_Data!B38&lt;&gt;Thresholds!$E$1,"STALE","CURRENT")</f>
        <v>CURRENT</v>
      </c>
    </row>
    <row r="39" spans="1:12" x14ac:dyDescent="0.3">
      <c r="A39" s="15" t="str">
        <f>Raw_Data!A39</f>
        <v>P0037</v>
      </c>
      <c r="B39" s="15" t="str">
        <f>Raw_Data!C39</f>
        <v>Zurich FX</v>
      </c>
      <c r="C39" s="11" t="str">
        <f>IFERROR(INDEX(Thresholds!$A$2:$A$5,MATCH(TRIM(Raw_Data!D39),Thresholds!$A$2:$A$5,0)),"UNMAPPED")</f>
        <v>FX Forward</v>
      </c>
      <c r="D39" s="16">
        <f>Raw_Data!G39</f>
        <v>430700</v>
      </c>
      <c r="E39" s="17">
        <f>Raw_Data!H39</f>
        <v>1.5034000000000001</v>
      </c>
      <c r="F39" s="14">
        <f>IF(Raw_Data!I39="","",Raw_Data!I39)</f>
        <v>1.5066600000000001</v>
      </c>
      <c r="G39" s="18">
        <f t="shared" si="0"/>
        <v>-2.1637263881698859E-3</v>
      </c>
      <c r="H39" s="19">
        <f>IFERROR(INDEX(Thresholds!$B$2:$B$5,MATCH(C39,Thresholds!$A$2:$A$5,0)),"")</f>
        <v>3.0000000000000001E-3</v>
      </c>
      <c r="I39" s="20">
        <f t="shared" si="1"/>
        <v>-1404.0820000000176</v>
      </c>
      <c r="J39" s="11" t="str">
        <f t="shared" si="2"/>
        <v>OK</v>
      </c>
      <c r="K39" s="11" t="str">
        <f>IF(COUNTIF(Raw_Data!$A$2:A39,Raw_Data!A39)&gt;1,"DUP","UNIQUE")</f>
        <v>UNIQUE</v>
      </c>
      <c r="L39" s="11" t="str">
        <f>IF(Raw_Data!B39&lt;&gt;Thresholds!$E$1,"STALE","CURRENT")</f>
        <v>CURRENT</v>
      </c>
    </row>
    <row r="40" spans="1:12" x14ac:dyDescent="0.3">
      <c r="A40" s="15" t="str">
        <f>Raw_Data!A40</f>
        <v>P0038</v>
      </c>
      <c r="B40" s="15" t="str">
        <f>Raw_Data!C40</f>
        <v>Singapore Equities</v>
      </c>
      <c r="C40" s="11" t="str">
        <f>IFERROR(INDEX(Thresholds!$A$2:$A$5,MATCH(TRIM(Raw_Data!D40),Thresholds!$A$2:$A$5,0)),"UNMAPPED")</f>
        <v>Equity</v>
      </c>
      <c r="D40" s="16">
        <f>Raw_Data!G40</f>
        <v>33381</v>
      </c>
      <c r="E40" s="17">
        <f>Raw_Data!H40</f>
        <v>160.80000000000001</v>
      </c>
      <c r="F40" s="14">
        <f>IF(Raw_Data!I40="","",Raw_Data!I40)</f>
        <v>160.52000000000001</v>
      </c>
      <c r="G40" s="18">
        <f t="shared" si="0"/>
        <v>1.744330924495397E-3</v>
      </c>
      <c r="H40" s="19">
        <f>IFERROR(INDEX(Thresholds!$B$2:$B$5,MATCH(C40,Thresholds!$A$2:$A$5,0)),"")</f>
        <v>0.01</v>
      </c>
      <c r="I40" s="20">
        <f t="shared" si="1"/>
        <v>9346.6800000000385</v>
      </c>
      <c r="J40" s="11" t="str">
        <f t="shared" si="2"/>
        <v>OK</v>
      </c>
      <c r="K40" s="11" t="str">
        <f>IF(COUNTIF(Raw_Data!$A$2:A40,Raw_Data!A40)&gt;1,"DUP","UNIQUE")</f>
        <v>UNIQUE</v>
      </c>
      <c r="L40" s="11" t="str">
        <f>IF(Raw_Data!B40&lt;&gt;Thresholds!$E$1,"STALE","CURRENT")</f>
        <v>CURRENT</v>
      </c>
    </row>
    <row r="41" spans="1:12" x14ac:dyDescent="0.3">
      <c r="A41" s="15" t="str">
        <f>Raw_Data!A41</f>
        <v>P0039</v>
      </c>
      <c r="B41" s="15" t="str">
        <f>Raw_Data!C41</f>
        <v>New York Credit</v>
      </c>
      <c r="C41" s="11" t="str">
        <f>IFERROR(INDEX(Thresholds!$A$2:$A$5,MATCH(TRIM(Raw_Data!D41),Thresholds!$A$2:$A$5,0)),"UNMAPPED")</f>
        <v>Corporate Bond</v>
      </c>
      <c r="D41" s="16">
        <f>Raw_Data!G41</f>
        <v>15086</v>
      </c>
      <c r="E41" s="17">
        <f>Raw_Data!H41</f>
        <v>100.767</v>
      </c>
      <c r="F41" s="14">
        <f>IF(Raw_Data!I41="","",Raw_Data!I41)</f>
        <v>100.56</v>
      </c>
      <c r="G41" s="18">
        <f t="shared" si="0"/>
        <v>2.0584725536992206E-3</v>
      </c>
      <c r="H41" s="19">
        <f>IFERROR(INDEX(Thresholds!$B$2:$B$5,MATCH(C41,Thresholds!$A$2:$A$5,0)),"")</f>
        <v>5.0000000000000001E-3</v>
      </c>
      <c r="I41" s="20">
        <f t="shared" si="1"/>
        <v>3122.8019999999042</v>
      </c>
      <c r="J41" s="11" t="str">
        <f t="shared" si="2"/>
        <v>OK</v>
      </c>
      <c r="K41" s="11" t="str">
        <f>IF(COUNTIF(Raw_Data!$A$2:A41,Raw_Data!A41)&gt;1,"DUP","UNIQUE")</f>
        <v>UNIQUE</v>
      </c>
      <c r="L41" s="11" t="str">
        <f>IF(Raw_Data!B41&lt;&gt;Thresholds!$E$1,"STALE","CURRENT")</f>
        <v>CURRENT</v>
      </c>
    </row>
    <row r="42" spans="1:12" x14ac:dyDescent="0.3">
      <c r="A42" s="15" t="str">
        <f>Raw_Data!A42</f>
        <v>P0040</v>
      </c>
      <c r="B42" s="15" t="str">
        <f>Raw_Data!C42</f>
        <v>London Credit</v>
      </c>
      <c r="C42" s="11" t="str">
        <f>IFERROR(INDEX(Thresholds!$A$2:$A$5,MATCH(TRIM(Raw_Data!D42),Thresholds!$A$2:$A$5,0)),"UNMAPPED")</f>
        <v>Corporate Bond</v>
      </c>
      <c r="D42" s="16">
        <f>Raw_Data!G42</f>
        <v>6560</v>
      </c>
      <c r="E42" s="17">
        <f>Raw_Data!H42</f>
        <v>100.179</v>
      </c>
      <c r="F42" s="14">
        <f>IF(Raw_Data!I42="","",Raw_Data!I42)</f>
        <v>100.00700000000001</v>
      </c>
      <c r="G42" s="18">
        <f t="shared" si="0"/>
        <v>1.7198796084273804E-3</v>
      </c>
      <c r="H42" s="19">
        <f>IFERROR(INDEX(Thresholds!$B$2:$B$5,MATCH(C42,Thresholds!$A$2:$A$5,0)),"")</f>
        <v>5.0000000000000001E-3</v>
      </c>
      <c r="I42" s="20">
        <f t="shared" si="1"/>
        <v>1128.3199999999806</v>
      </c>
      <c r="J42" s="11" t="str">
        <f t="shared" si="2"/>
        <v>OK</v>
      </c>
      <c r="K42" s="11" t="str">
        <f>IF(COUNTIF(Raw_Data!$A$2:A42,Raw_Data!A42)&gt;1,"DUP","UNIQUE")</f>
        <v>UNIQUE</v>
      </c>
      <c r="L42" s="11" t="str">
        <f>IF(Raw_Data!B42&lt;&gt;Thresholds!$E$1,"STALE","CURRENT")</f>
        <v>STALE</v>
      </c>
    </row>
    <row r="43" spans="1:12" x14ac:dyDescent="0.3">
      <c r="A43" s="15" t="str">
        <f>Raw_Data!A43</f>
        <v>P0041</v>
      </c>
      <c r="B43" s="15" t="str">
        <f>Raw_Data!C43</f>
        <v>London Credit</v>
      </c>
      <c r="C43" s="11" t="str">
        <f>IFERROR(INDEX(Thresholds!$A$2:$A$5,MATCH(TRIM(Raw_Data!D43),Thresholds!$A$2:$A$5,0)),"UNMAPPED")</f>
        <v>Corporate Bond</v>
      </c>
      <c r="D43" s="16">
        <f>Raw_Data!G43</f>
        <v>7456</v>
      </c>
      <c r="E43" s="17">
        <f>Raw_Data!H43</f>
        <v>100.319</v>
      </c>
      <c r="F43" s="14">
        <f>IF(Raw_Data!I43="","",Raw_Data!I43)</f>
        <v>100.18600000000001</v>
      </c>
      <c r="G43" s="18">
        <f t="shared" si="0"/>
        <v>1.3275307927254861E-3</v>
      </c>
      <c r="H43" s="19">
        <f>IFERROR(INDEX(Thresholds!$B$2:$B$5,MATCH(C43,Thresholds!$A$2:$A$5,0)),"")</f>
        <v>5.0000000000000001E-3</v>
      </c>
      <c r="I43" s="20">
        <f t="shared" si="1"/>
        <v>991.64799999996694</v>
      </c>
      <c r="J43" s="11" t="str">
        <f t="shared" si="2"/>
        <v>OK</v>
      </c>
      <c r="K43" s="11" t="str">
        <f>IF(COUNTIF(Raw_Data!$A$2:A43,Raw_Data!A43)&gt;1,"DUP","UNIQUE")</f>
        <v>UNIQUE</v>
      </c>
      <c r="L43" s="11" t="str">
        <f>IF(Raw_Data!B43&lt;&gt;Thresholds!$E$1,"STALE","CURRENT")</f>
        <v>CURRENT</v>
      </c>
    </row>
    <row r="44" spans="1:12" x14ac:dyDescent="0.3">
      <c r="A44" s="15" t="str">
        <f>Raw_Data!A44</f>
        <v>P0042</v>
      </c>
      <c r="B44" s="15" t="str">
        <f>Raw_Data!C44</f>
        <v>Singapore FX</v>
      </c>
      <c r="C44" s="11" t="str">
        <f>IFERROR(INDEX(Thresholds!$A$2:$A$5,MATCH(TRIM(Raw_Data!D44),Thresholds!$A$2:$A$5,0)),"UNMAPPED")</f>
        <v>FX Forward</v>
      </c>
      <c r="D44" s="16">
        <f>Raw_Data!G44</f>
        <v>4964749</v>
      </c>
      <c r="E44" s="17">
        <f>Raw_Data!H44</f>
        <v>1.32605</v>
      </c>
      <c r="F44" s="14">
        <f>IF(Raw_Data!I44="","",Raw_Data!I44)</f>
        <v>1.32758</v>
      </c>
      <c r="G44" s="18">
        <f t="shared" si="0"/>
        <v>-1.1524729206526397E-3</v>
      </c>
      <c r="H44" s="19">
        <f>IFERROR(INDEX(Thresholds!$B$2:$B$5,MATCH(C44,Thresholds!$A$2:$A$5,0)),"")</f>
        <v>3.0000000000000001E-3</v>
      </c>
      <c r="I44" s="20">
        <f t="shared" si="1"/>
        <v>-7596.0659700001552</v>
      </c>
      <c r="J44" s="11" t="str">
        <f t="shared" si="2"/>
        <v>OK</v>
      </c>
      <c r="K44" s="11" t="str">
        <f>IF(COUNTIF(Raw_Data!$A$2:A44,Raw_Data!A44)&gt;1,"DUP","UNIQUE")</f>
        <v>UNIQUE</v>
      </c>
      <c r="L44" s="11" t="str">
        <f>IF(Raw_Data!B44&lt;&gt;Thresholds!$E$1,"STALE","CURRENT")</f>
        <v>CURRENT</v>
      </c>
    </row>
    <row r="45" spans="1:12" x14ac:dyDescent="0.3">
      <c r="A45" s="15" t="str">
        <f>Raw_Data!A45</f>
        <v>P0043</v>
      </c>
      <c r="B45" s="15" t="str">
        <f>Raw_Data!C45</f>
        <v>New York Rates</v>
      </c>
      <c r="C45" s="11" t="str">
        <f>IFERROR(INDEX(Thresholds!$A$2:$A$5,MATCH(TRIM(Raw_Data!D45),Thresholds!$A$2:$A$5,0)),"UNMAPPED")</f>
        <v>Government Bond</v>
      </c>
      <c r="D45" s="16">
        <f>Raw_Data!G45</f>
        <v>16654</v>
      </c>
      <c r="E45" s="17">
        <f>Raw_Data!H45</f>
        <v>103.529</v>
      </c>
      <c r="F45" s="14">
        <f>IF(Raw_Data!I45="","",Raw_Data!I45)</f>
        <v>103.505</v>
      </c>
      <c r="G45" s="18">
        <f t="shared" si="0"/>
        <v>2.3187285638375839E-4</v>
      </c>
      <c r="H45" s="19">
        <f>IFERROR(INDEX(Thresholds!$B$2:$B$5,MATCH(C45,Thresholds!$A$2:$A$5,0)),"")</f>
        <v>2.5000000000000001E-3</v>
      </c>
      <c r="I45" s="20">
        <f t="shared" si="1"/>
        <v>399.69600000001515</v>
      </c>
      <c r="J45" s="11" t="str">
        <f t="shared" si="2"/>
        <v>OK</v>
      </c>
      <c r="K45" s="11" t="str">
        <f>IF(COUNTIF(Raw_Data!$A$2:A45,Raw_Data!A45)&gt;1,"DUP","UNIQUE")</f>
        <v>UNIQUE</v>
      </c>
      <c r="L45" s="11" t="str">
        <f>IF(Raw_Data!B45&lt;&gt;Thresholds!$E$1,"STALE","CURRENT")</f>
        <v>CURRENT</v>
      </c>
    </row>
    <row r="46" spans="1:12" x14ac:dyDescent="0.3">
      <c r="A46" s="15" t="str">
        <f>Raw_Data!A46</f>
        <v>P0044</v>
      </c>
      <c r="B46" s="15" t="str">
        <f>Raw_Data!C46</f>
        <v>New York Rates</v>
      </c>
      <c r="C46" s="11" t="str">
        <f>IFERROR(INDEX(Thresholds!$A$2:$A$5,MATCH(TRIM(Raw_Data!D46),Thresholds!$A$2:$A$5,0)),"UNMAPPED")</f>
        <v>Government Bond</v>
      </c>
      <c r="D46" s="16">
        <f>Raw_Data!G46</f>
        <v>18502</v>
      </c>
      <c r="E46" s="17">
        <f>Raw_Data!H46</f>
        <v>97.82</v>
      </c>
      <c r="F46" s="14">
        <f>IF(Raw_Data!I46="","",Raw_Data!I46)</f>
        <v>97.813000000000002</v>
      </c>
      <c r="G46" s="18">
        <f t="shared" si="0"/>
        <v>7.1565129379436184E-5</v>
      </c>
      <c r="H46" s="19">
        <f>IFERROR(INDEX(Thresholds!$B$2:$B$5,MATCH(C46,Thresholds!$A$2:$A$5,0)),"")</f>
        <v>2.5000000000000001E-3</v>
      </c>
      <c r="I46" s="20">
        <f t="shared" si="1"/>
        <v>129.51399999982962</v>
      </c>
      <c r="J46" s="11" t="str">
        <f t="shared" si="2"/>
        <v>OK</v>
      </c>
      <c r="K46" s="11" t="str">
        <f>IF(COUNTIF(Raw_Data!$A$2:A46,Raw_Data!A46)&gt;1,"DUP","UNIQUE")</f>
        <v>UNIQUE</v>
      </c>
      <c r="L46" s="11" t="str">
        <f>IF(Raw_Data!B46&lt;&gt;Thresholds!$E$1,"STALE","CURRENT")</f>
        <v>CURRENT</v>
      </c>
    </row>
    <row r="47" spans="1:12" x14ac:dyDescent="0.3">
      <c r="A47" s="15" t="str">
        <f>Raw_Data!A47</f>
        <v>P0045</v>
      </c>
      <c r="B47" s="15" t="str">
        <f>Raw_Data!C47</f>
        <v>London Credit</v>
      </c>
      <c r="C47" s="11" t="str">
        <f>IFERROR(INDEX(Thresholds!$A$2:$A$5,MATCH(TRIM(Raw_Data!D47),Thresholds!$A$2:$A$5,0)),"UNMAPPED")</f>
        <v>Corporate Bond</v>
      </c>
      <c r="D47" s="16">
        <f>Raw_Data!G47</f>
        <v>14767</v>
      </c>
      <c r="E47" s="17">
        <f>Raw_Data!H47</f>
        <v>95.308999999999997</v>
      </c>
      <c r="F47" s="14">
        <f>IF(Raw_Data!I47="","",Raw_Data!I47)</f>
        <v>95.146000000000001</v>
      </c>
      <c r="G47" s="18">
        <f t="shared" si="0"/>
        <v>1.7131566224538783E-3</v>
      </c>
      <c r="H47" s="19">
        <f>IFERROR(INDEX(Thresholds!$B$2:$B$5,MATCH(C47,Thresholds!$A$2:$A$5,0)),"")</f>
        <v>5.0000000000000001E-3</v>
      </c>
      <c r="I47" s="20">
        <f t="shared" si="1"/>
        <v>2407.0209999999515</v>
      </c>
      <c r="J47" s="11" t="str">
        <f t="shared" si="2"/>
        <v>OK</v>
      </c>
      <c r="K47" s="11" t="str">
        <f>IF(COUNTIF(Raw_Data!$A$2:A47,Raw_Data!A47)&gt;1,"DUP","UNIQUE")</f>
        <v>UNIQUE</v>
      </c>
      <c r="L47" s="11" t="str">
        <f>IF(Raw_Data!B47&lt;&gt;Thresholds!$E$1,"STALE","CURRENT")</f>
        <v>CURRENT</v>
      </c>
    </row>
    <row r="48" spans="1:12" x14ac:dyDescent="0.3">
      <c r="A48" s="15" t="str">
        <f>Raw_Data!A48</f>
        <v>P0046</v>
      </c>
      <c r="B48" s="15" t="str">
        <f>Raw_Data!C48</f>
        <v>New York Credit</v>
      </c>
      <c r="C48" s="11" t="str">
        <f>IFERROR(INDEX(Thresholds!$A$2:$A$5,MATCH(TRIM(Raw_Data!D48),Thresholds!$A$2:$A$5,0)),"UNMAPPED")</f>
        <v>Corporate Bond</v>
      </c>
      <c r="D48" s="16">
        <f>Raw_Data!G48</f>
        <v>11819</v>
      </c>
      <c r="E48" s="17">
        <f>Raw_Data!H48</f>
        <v>98.900999999999996</v>
      </c>
      <c r="F48" s="14">
        <f>IF(Raw_Data!I48="","",Raw_Data!I48)</f>
        <v>99.256</v>
      </c>
      <c r="G48" s="18">
        <f t="shared" si="0"/>
        <v>-3.5766099782381317E-3</v>
      </c>
      <c r="H48" s="19">
        <f>IFERROR(INDEX(Thresholds!$B$2:$B$5,MATCH(C48,Thresholds!$A$2:$A$5,0)),"")</f>
        <v>5.0000000000000001E-3</v>
      </c>
      <c r="I48" s="20">
        <f t="shared" si="1"/>
        <v>-4195.7450000000472</v>
      </c>
      <c r="J48" s="11" t="str">
        <f t="shared" si="2"/>
        <v>OK</v>
      </c>
      <c r="K48" s="11" t="str">
        <f>IF(COUNTIF(Raw_Data!$A$2:A48,Raw_Data!A48)&gt;1,"DUP","UNIQUE")</f>
        <v>UNIQUE</v>
      </c>
      <c r="L48" s="11" t="str">
        <f>IF(Raw_Data!B48&lt;&gt;Thresholds!$E$1,"STALE","CURRENT")</f>
        <v>CURRENT</v>
      </c>
    </row>
    <row r="49" spans="1:12" x14ac:dyDescent="0.3">
      <c r="A49" s="15" t="str">
        <f>Raw_Data!A49</f>
        <v>P0047</v>
      </c>
      <c r="B49" s="15" t="str">
        <f>Raw_Data!C49</f>
        <v>Zurich Equities</v>
      </c>
      <c r="C49" s="11" t="str">
        <f>IFERROR(INDEX(Thresholds!$A$2:$A$5,MATCH(TRIM(Raw_Data!D49),Thresholds!$A$2:$A$5,0)),"UNMAPPED")</f>
        <v>Equity</v>
      </c>
      <c r="D49" s="16">
        <f>Raw_Data!G49</f>
        <v>31248</v>
      </c>
      <c r="E49" s="17">
        <f>Raw_Data!H49</f>
        <v>55.95</v>
      </c>
      <c r="F49" s="14">
        <f>IF(Raw_Data!I49="","",Raw_Data!I49)</f>
        <v>55.94</v>
      </c>
      <c r="G49" s="18">
        <f t="shared" si="0"/>
        <v>1.7876296031471426E-4</v>
      </c>
      <c r="H49" s="19">
        <f>IFERROR(INDEX(Thresholds!$B$2:$B$5,MATCH(C49,Thresholds!$A$2:$A$5,0)),"")</f>
        <v>0.01</v>
      </c>
      <c r="I49" s="20">
        <f t="shared" si="1"/>
        <v>312.48000000015986</v>
      </c>
      <c r="J49" s="11" t="str">
        <f t="shared" si="2"/>
        <v>OK</v>
      </c>
      <c r="K49" s="11" t="str">
        <f>IF(COUNTIF(Raw_Data!$A$2:A49,Raw_Data!A49)&gt;1,"DUP","UNIQUE")</f>
        <v>UNIQUE</v>
      </c>
      <c r="L49" s="11" t="str">
        <f>IF(Raw_Data!B49&lt;&gt;Thresholds!$E$1,"STALE","CURRENT")</f>
        <v>CURRENT</v>
      </c>
    </row>
    <row r="50" spans="1:12" x14ac:dyDescent="0.3">
      <c r="A50" s="15" t="str">
        <f>Raw_Data!A50</f>
        <v>P0048</v>
      </c>
      <c r="B50" s="15" t="str">
        <f>Raw_Data!C50</f>
        <v>Singapore Equities</v>
      </c>
      <c r="C50" s="11" t="str">
        <f>IFERROR(INDEX(Thresholds!$A$2:$A$5,MATCH(TRIM(Raw_Data!D50),Thresholds!$A$2:$A$5,0)),"UNMAPPED")</f>
        <v>Equity</v>
      </c>
      <c r="D50" s="16">
        <f>Raw_Data!G50</f>
        <v>14825</v>
      </c>
      <c r="E50" s="17">
        <f>Raw_Data!H50</f>
        <v>142.66999999999999</v>
      </c>
      <c r="F50" s="14">
        <f>IF(Raw_Data!I50="","",Raw_Data!I50)</f>
        <v>143.03</v>
      </c>
      <c r="G50" s="18">
        <f t="shared" si="0"/>
        <v>-2.5169544850731571E-3</v>
      </c>
      <c r="H50" s="19">
        <f>IFERROR(INDEX(Thresholds!$B$2:$B$5,MATCH(C50,Thresholds!$A$2:$A$5,0)),"")</f>
        <v>0.01</v>
      </c>
      <c r="I50" s="20">
        <f t="shared" si="1"/>
        <v>-5337.0000000002019</v>
      </c>
      <c r="J50" s="11" t="str">
        <f t="shared" si="2"/>
        <v>OK</v>
      </c>
      <c r="K50" s="11" t="str">
        <f>IF(COUNTIF(Raw_Data!$A$2:A50,Raw_Data!A50)&gt;1,"DUP","UNIQUE")</f>
        <v>UNIQUE</v>
      </c>
      <c r="L50" s="11" t="str">
        <f>IF(Raw_Data!B50&lt;&gt;Thresholds!$E$1,"STALE","CURRENT")</f>
        <v>CURRENT</v>
      </c>
    </row>
    <row r="51" spans="1:12" x14ac:dyDescent="0.3">
      <c r="A51" s="15" t="str">
        <f>Raw_Data!A51</f>
        <v>P0049</v>
      </c>
      <c r="B51" s="15" t="str">
        <f>Raw_Data!C51</f>
        <v>London Rates</v>
      </c>
      <c r="C51" s="11" t="str">
        <f>IFERROR(INDEX(Thresholds!$A$2:$A$5,MATCH(TRIM(Raw_Data!D51),Thresholds!$A$2:$A$5,0)),"UNMAPPED")</f>
        <v>Government Bond</v>
      </c>
      <c r="D51" s="16">
        <f>Raw_Data!G51</f>
        <v>17579</v>
      </c>
      <c r="E51" s="17">
        <f>Raw_Data!H51</f>
        <v>98.778000000000006</v>
      </c>
      <c r="F51" s="14">
        <f>IF(Raw_Data!I51="","",Raw_Data!I51)</f>
        <v>98.864000000000004</v>
      </c>
      <c r="G51" s="18">
        <f t="shared" si="0"/>
        <v>-8.6988185790579499E-4</v>
      </c>
      <c r="H51" s="19">
        <f>IFERROR(INDEX(Thresholds!$B$2:$B$5,MATCH(C51,Thresholds!$A$2:$A$5,0)),"")</f>
        <v>2.5000000000000001E-3</v>
      </c>
      <c r="I51" s="20">
        <f t="shared" si="1"/>
        <v>-1511.7939999999739</v>
      </c>
      <c r="J51" s="11" t="str">
        <f t="shared" si="2"/>
        <v>OK</v>
      </c>
      <c r="K51" s="11" t="str">
        <f>IF(COUNTIF(Raw_Data!$A$2:A51,Raw_Data!A51)&gt;1,"DUP","UNIQUE")</f>
        <v>UNIQUE</v>
      </c>
      <c r="L51" s="11" t="str">
        <f>IF(Raw_Data!B51&lt;&gt;Thresholds!$E$1,"STALE","CURRENT")</f>
        <v>CURRENT</v>
      </c>
    </row>
    <row r="52" spans="1:12" x14ac:dyDescent="0.3">
      <c r="A52" s="15" t="str">
        <f>Raw_Data!A52</f>
        <v>P0050</v>
      </c>
      <c r="B52" s="15" t="str">
        <f>Raw_Data!C52</f>
        <v>Zurich Equities</v>
      </c>
      <c r="C52" s="11" t="str">
        <f>IFERROR(INDEX(Thresholds!$A$2:$A$5,MATCH(TRIM(Raw_Data!D52),Thresholds!$A$2:$A$5,0)),"UNMAPPED")</f>
        <v>Equity</v>
      </c>
      <c r="D52" s="16">
        <f>Raw_Data!G52</f>
        <v>3765</v>
      </c>
      <c r="E52" s="17">
        <f>Raw_Data!H52</f>
        <v>211.69</v>
      </c>
      <c r="F52" s="14">
        <f>IF(Raw_Data!I52="","",Raw_Data!I52)</f>
        <v>209.32</v>
      </c>
      <c r="G52" s="18">
        <f t="shared" si="0"/>
        <v>1.1322377221479097E-2</v>
      </c>
      <c r="H52" s="19">
        <f>IFERROR(INDEX(Thresholds!$B$2:$B$5,MATCH(C52,Thresholds!$A$2:$A$5,0)),"")</f>
        <v>0.01</v>
      </c>
      <c r="I52" s="20">
        <f t="shared" si="1"/>
        <v>8923.0500000000175</v>
      </c>
      <c r="J52" s="11" t="str">
        <f t="shared" si="2"/>
        <v>BREACH</v>
      </c>
      <c r="K52" s="11" t="str">
        <f>IF(COUNTIF(Raw_Data!$A$2:A52,Raw_Data!A52)&gt;1,"DUP","UNIQUE")</f>
        <v>UNIQUE</v>
      </c>
      <c r="L52" s="11" t="str">
        <f>IF(Raw_Data!B52&lt;&gt;Thresholds!$E$1,"STALE","CURRENT")</f>
        <v>CURRENT</v>
      </c>
    </row>
    <row r="53" spans="1:12" x14ac:dyDescent="0.3">
      <c r="A53" s="15" t="str">
        <f>Raw_Data!A53</f>
        <v>P0051</v>
      </c>
      <c r="B53" s="15" t="str">
        <f>Raw_Data!C53</f>
        <v>London Credit</v>
      </c>
      <c r="C53" s="11" t="str">
        <f>IFERROR(INDEX(Thresholds!$A$2:$A$5,MATCH(TRIM(Raw_Data!D53),Thresholds!$A$2:$A$5,0)),"UNMAPPED")</f>
        <v>Corporate Bond</v>
      </c>
      <c r="D53" s="16">
        <f>Raw_Data!G53</f>
        <v>11929</v>
      </c>
      <c r="E53" s="17">
        <f>Raw_Data!H53</f>
        <v>102.149</v>
      </c>
      <c r="F53" s="14">
        <f>IF(Raw_Data!I53="","",Raw_Data!I53)</f>
        <v>102.11199999999999</v>
      </c>
      <c r="G53" s="18">
        <f t="shared" si="0"/>
        <v>3.6234722657480162E-4</v>
      </c>
      <c r="H53" s="19">
        <f>IFERROR(INDEX(Thresholds!$B$2:$B$5,MATCH(C53,Thresholds!$A$2:$A$5,0)),"")</f>
        <v>5.0000000000000001E-3</v>
      </c>
      <c r="I53" s="20">
        <f t="shared" si="1"/>
        <v>441.37300000007326</v>
      </c>
      <c r="J53" s="11" t="str">
        <f t="shared" si="2"/>
        <v>OK</v>
      </c>
      <c r="K53" s="11" t="str">
        <f>IF(COUNTIF(Raw_Data!$A$2:A53,Raw_Data!A53)&gt;1,"DUP","UNIQUE")</f>
        <v>UNIQUE</v>
      </c>
      <c r="L53" s="11" t="str">
        <f>IF(Raw_Data!B53&lt;&gt;Thresholds!$E$1,"STALE","CURRENT")</f>
        <v>CURRENT</v>
      </c>
    </row>
    <row r="54" spans="1:12" x14ac:dyDescent="0.3">
      <c r="A54" s="15" t="str">
        <f>Raw_Data!A54</f>
        <v>P0052</v>
      </c>
      <c r="B54" s="15" t="str">
        <f>Raw_Data!C54</f>
        <v>London Rates</v>
      </c>
      <c r="C54" s="11" t="str">
        <f>IFERROR(INDEX(Thresholds!$A$2:$A$5,MATCH(TRIM(Raw_Data!D54),Thresholds!$A$2:$A$5,0)),"UNMAPPED")</f>
        <v>Government Bond</v>
      </c>
      <c r="D54" s="16">
        <f>Raw_Data!G54</f>
        <v>19810</v>
      </c>
      <c r="E54" s="17">
        <f>Raw_Data!H54</f>
        <v>102.982</v>
      </c>
      <c r="F54" s="14">
        <f>IF(Raw_Data!I54="","",Raw_Data!I54)</f>
        <v>102.834</v>
      </c>
      <c r="G54" s="18">
        <f t="shared" si="0"/>
        <v>1.4392127117489949E-3</v>
      </c>
      <c r="H54" s="19">
        <f>IFERROR(INDEX(Thresholds!$B$2:$B$5,MATCH(C54,Thresholds!$A$2:$A$5,0)),"")</f>
        <v>2.5000000000000001E-3</v>
      </c>
      <c r="I54" s="20">
        <f t="shared" si="1"/>
        <v>2931.8799999999233</v>
      </c>
      <c r="J54" s="11" t="str">
        <f t="shared" si="2"/>
        <v>OK</v>
      </c>
      <c r="K54" s="11" t="str">
        <f>IF(COUNTIF(Raw_Data!$A$2:A54,Raw_Data!A54)&gt;1,"DUP","UNIQUE")</f>
        <v>UNIQUE</v>
      </c>
      <c r="L54" s="11" t="str">
        <f>IF(Raw_Data!B54&lt;&gt;Thresholds!$E$1,"STALE","CURRENT")</f>
        <v>CURRENT</v>
      </c>
    </row>
    <row r="55" spans="1:12" x14ac:dyDescent="0.3">
      <c r="A55" s="15" t="str">
        <f>Raw_Data!A55</f>
        <v>P0053</v>
      </c>
      <c r="B55" s="15" t="str">
        <f>Raw_Data!C55</f>
        <v>London Rates</v>
      </c>
      <c r="C55" s="11" t="str">
        <f>IFERROR(INDEX(Thresholds!$A$2:$A$5,MATCH(TRIM(Raw_Data!D55),Thresholds!$A$2:$A$5,0)),"UNMAPPED")</f>
        <v>Government Bond</v>
      </c>
      <c r="D55" s="16">
        <f>Raw_Data!G55</f>
        <v>7066</v>
      </c>
      <c r="E55" s="17">
        <f>Raw_Data!H55</f>
        <v>101.943</v>
      </c>
      <c r="F55" s="14">
        <f>IF(Raw_Data!I55="","",Raw_Data!I55)</f>
        <v>101.782</v>
      </c>
      <c r="G55" s="18">
        <f t="shared" si="0"/>
        <v>1.5818121082313314E-3</v>
      </c>
      <c r="H55" s="19">
        <f>IFERROR(INDEX(Thresholds!$B$2:$B$5,MATCH(C55,Thresholds!$A$2:$A$5,0)),"")</f>
        <v>2.5000000000000001E-3</v>
      </c>
      <c r="I55" s="20">
        <f t="shared" si="1"/>
        <v>1137.6260000000098</v>
      </c>
      <c r="J55" s="11" t="str">
        <f t="shared" si="2"/>
        <v>OK</v>
      </c>
      <c r="K55" s="11" t="str">
        <f>IF(COUNTIF(Raw_Data!$A$2:A55,Raw_Data!A55)&gt;1,"DUP","UNIQUE")</f>
        <v>UNIQUE</v>
      </c>
      <c r="L55" s="11" t="str">
        <f>IF(Raw_Data!B55&lt;&gt;Thresholds!$E$1,"STALE","CURRENT")</f>
        <v>CURRENT</v>
      </c>
    </row>
    <row r="56" spans="1:12" x14ac:dyDescent="0.3">
      <c r="A56" s="15" t="str">
        <f>Raw_Data!A56</f>
        <v>P0054</v>
      </c>
      <c r="B56" s="15" t="str">
        <f>Raw_Data!C56</f>
        <v>Zurich Equities</v>
      </c>
      <c r="C56" s="11" t="str">
        <f>IFERROR(INDEX(Thresholds!$A$2:$A$5,MATCH(TRIM(Raw_Data!D56),Thresholds!$A$2:$A$5,0)),"UNMAPPED")</f>
        <v>Equity</v>
      </c>
      <c r="D56" s="16">
        <f>Raw_Data!G56</f>
        <v>30064</v>
      </c>
      <c r="E56" s="17">
        <f>Raw_Data!H56</f>
        <v>94.37</v>
      </c>
      <c r="F56" s="14">
        <f>IF(Raw_Data!I56="","",Raw_Data!I56)</f>
        <v>93.91</v>
      </c>
      <c r="G56" s="18">
        <f t="shared" si="0"/>
        <v>4.8983068895752102E-3</v>
      </c>
      <c r="H56" s="19">
        <f>IFERROR(INDEX(Thresholds!$B$2:$B$5,MATCH(C56,Thresholds!$A$2:$A$5,0)),"")</f>
        <v>0.01</v>
      </c>
      <c r="I56" s="20">
        <f t="shared" si="1"/>
        <v>13829.440000000239</v>
      </c>
      <c r="J56" s="11" t="str">
        <f t="shared" si="2"/>
        <v>OK</v>
      </c>
      <c r="K56" s="11" t="str">
        <f>IF(COUNTIF(Raw_Data!$A$2:A56,Raw_Data!A56)&gt;1,"DUP","UNIQUE")</f>
        <v>UNIQUE</v>
      </c>
      <c r="L56" s="11" t="str">
        <f>IF(Raw_Data!B56&lt;&gt;Thresholds!$E$1,"STALE","CURRENT")</f>
        <v>CURRENT</v>
      </c>
    </row>
    <row r="57" spans="1:12" x14ac:dyDescent="0.3">
      <c r="A57" s="15" t="str">
        <f>Raw_Data!A57</f>
        <v>P0055</v>
      </c>
      <c r="B57" s="15" t="str">
        <f>Raw_Data!C57</f>
        <v>Singapore Equities</v>
      </c>
      <c r="C57" s="11" t="str">
        <f>IFERROR(INDEX(Thresholds!$A$2:$A$5,MATCH(TRIM(Raw_Data!D57),Thresholds!$A$2:$A$5,0)),"UNMAPPED")</f>
        <v>Equity</v>
      </c>
      <c r="D57" s="16">
        <f>Raw_Data!G57</f>
        <v>42229</v>
      </c>
      <c r="E57" s="17">
        <f>Raw_Data!H57</f>
        <v>79.540000000000006</v>
      </c>
      <c r="F57" s="14">
        <f>IF(Raw_Data!I57="","",Raw_Data!I57)</f>
        <v>80.38</v>
      </c>
      <c r="G57" s="18">
        <f t="shared" si="0"/>
        <v>-1.0450360786265106E-2</v>
      </c>
      <c r="H57" s="19">
        <f>IFERROR(INDEX(Thresholds!$B$2:$B$5,MATCH(C57,Thresholds!$A$2:$A$5,0)),"")</f>
        <v>0.01</v>
      </c>
      <c r="I57" s="20">
        <f t="shared" si="1"/>
        <v>-35472.359999999542</v>
      </c>
      <c r="J57" s="11" t="str">
        <f t="shared" si="2"/>
        <v>BREACH</v>
      </c>
      <c r="K57" s="11" t="str">
        <f>IF(COUNTIF(Raw_Data!$A$2:A57,Raw_Data!A57)&gt;1,"DUP","UNIQUE")</f>
        <v>UNIQUE</v>
      </c>
      <c r="L57" s="11" t="str">
        <f>IF(Raw_Data!B57&lt;&gt;Thresholds!$E$1,"STALE","CURRENT")</f>
        <v>STALE</v>
      </c>
    </row>
    <row r="58" spans="1:12" x14ac:dyDescent="0.3">
      <c r="A58" s="15" t="str">
        <f>Raw_Data!A58</f>
        <v>P0056</v>
      </c>
      <c r="B58" s="15" t="str">
        <f>Raw_Data!C58</f>
        <v>New York Credit</v>
      </c>
      <c r="C58" s="11" t="str">
        <f>IFERROR(INDEX(Thresholds!$A$2:$A$5,MATCH(TRIM(Raw_Data!D58),Thresholds!$A$2:$A$5,0)),"UNMAPPED")</f>
        <v>Corporate Bond</v>
      </c>
      <c r="D58" s="16">
        <f>Raw_Data!G58</f>
        <v>12526</v>
      </c>
      <c r="E58" s="17">
        <f>Raw_Data!H58</f>
        <v>99.632000000000005</v>
      </c>
      <c r="F58" s="14">
        <f>IF(Raw_Data!I58="","",Raw_Data!I58)</f>
        <v>99.825999999999993</v>
      </c>
      <c r="G58" s="18">
        <f t="shared" si="0"/>
        <v>-1.9433814837816644E-3</v>
      </c>
      <c r="H58" s="19">
        <f>IFERROR(INDEX(Thresholds!$B$2:$B$5,MATCH(C58,Thresholds!$A$2:$A$5,0)),"")</f>
        <v>5.0000000000000001E-3</v>
      </c>
      <c r="I58" s="20">
        <f t="shared" si="1"/>
        <v>-2430.0439999998548</v>
      </c>
      <c r="J58" s="11" t="str">
        <f t="shared" si="2"/>
        <v>OK</v>
      </c>
      <c r="K58" s="11" t="str">
        <f>IF(COUNTIF(Raw_Data!$A$2:A58,Raw_Data!A58)&gt;1,"DUP","UNIQUE")</f>
        <v>UNIQUE</v>
      </c>
      <c r="L58" s="11" t="str">
        <f>IF(Raw_Data!B58&lt;&gt;Thresholds!$E$1,"STALE","CURRENT")</f>
        <v>CURRENT</v>
      </c>
    </row>
    <row r="59" spans="1:12" x14ac:dyDescent="0.3">
      <c r="A59" s="15" t="str">
        <f>Raw_Data!A59</f>
        <v>P0057</v>
      </c>
      <c r="B59" s="15" t="str">
        <f>Raw_Data!C59</f>
        <v>Singapore Equities</v>
      </c>
      <c r="C59" s="11" t="str">
        <f>IFERROR(INDEX(Thresholds!$A$2:$A$5,MATCH(TRIM(Raw_Data!D59),Thresholds!$A$2:$A$5,0)),"UNMAPPED")</f>
        <v>Equity</v>
      </c>
      <c r="D59" s="16">
        <f>Raw_Data!G59</f>
        <v>525</v>
      </c>
      <c r="E59" s="17">
        <f>Raw_Data!H59</f>
        <v>81.72</v>
      </c>
      <c r="F59" s="14">
        <f>IF(Raw_Data!I59="","",Raw_Data!I59)</f>
        <v>82.35</v>
      </c>
      <c r="G59" s="18">
        <f t="shared" si="0"/>
        <v>-7.6502732240436612E-3</v>
      </c>
      <c r="H59" s="19">
        <f>IFERROR(INDEX(Thresholds!$B$2:$B$5,MATCH(C59,Thresholds!$A$2:$A$5,0)),"")</f>
        <v>0.01</v>
      </c>
      <c r="I59" s="20">
        <f t="shared" si="1"/>
        <v>-330.74999999999761</v>
      </c>
      <c r="J59" s="11" t="str">
        <f t="shared" si="2"/>
        <v>OK</v>
      </c>
      <c r="K59" s="11" t="str">
        <f>IF(COUNTIF(Raw_Data!$A$2:A59,Raw_Data!A59)&gt;1,"DUP","UNIQUE")</f>
        <v>UNIQUE</v>
      </c>
      <c r="L59" s="11" t="str">
        <f>IF(Raw_Data!B59&lt;&gt;Thresholds!$E$1,"STALE","CURRENT")</f>
        <v>CURRENT</v>
      </c>
    </row>
    <row r="60" spans="1:12" x14ac:dyDescent="0.3">
      <c r="A60" s="15" t="str">
        <f>Raw_Data!A60</f>
        <v>P0058</v>
      </c>
      <c r="B60" s="15" t="str">
        <f>Raw_Data!C60</f>
        <v>London Credit</v>
      </c>
      <c r="C60" s="11" t="str">
        <f>IFERROR(INDEX(Thresholds!$A$2:$A$5,MATCH(TRIM(Raw_Data!D60),Thresholds!$A$2:$A$5,0)),"UNMAPPED")</f>
        <v>Corporate Bond</v>
      </c>
      <c r="D60" s="16">
        <f>Raw_Data!G60</f>
        <v>4542</v>
      </c>
      <c r="E60" s="17">
        <f>Raw_Data!H60</f>
        <v>107.43600000000001</v>
      </c>
      <c r="F60" s="14">
        <f>IF(Raw_Data!I60="","",Raw_Data!I60)</f>
        <v>107.715</v>
      </c>
      <c r="G60" s="18">
        <f t="shared" si="0"/>
        <v>-2.5901685002088508E-3</v>
      </c>
      <c r="H60" s="19">
        <f>IFERROR(INDEX(Thresholds!$B$2:$B$5,MATCH(C60,Thresholds!$A$2:$A$5,0)),"")</f>
        <v>5.0000000000000001E-3</v>
      </c>
      <c r="I60" s="20">
        <f t="shared" si="1"/>
        <v>-1267.2179999999835</v>
      </c>
      <c r="J60" s="11" t="str">
        <f t="shared" si="2"/>
        <v>OK</v>
      </c>
      <c r="K60" s="11" t="str">
        <f>IF(COUNTIF(Raw_Data!$A$2:A60,Raw_Data!A60)&gt;1,"DUP","UNIQUE")</f>
        <v>UNIQUE</v>
      </c>
      <c r="L60" s="11" t="str">
        <f>IF(Raw_Data!B60&lt;&gt;Thresholds!$E$1,"STALE","CURRENT")</f>
        <v>STALE</v>
      </c>
    </row>
    <row r="61" spans="1:12" x14ac:dyDescent="0.3">
      <c r="A61" s="15" t="str">
        <f>Raw_Data!A61</f>
        <v>P0059</v>
      </c>
      <c r="B61" s="15" t="str">
        <f>Raw_Data!C61</f>
        <v>New York Credit</v>
      </c>
      <c r="C61" s="11" t="str">
        <f>IFERROR(INDEX(Thresholds!$A$2:$A$5,MATCH(TRIM(Raw_Data!D61),Thresholds!$A$2:$A$5,0)),"UNMAPPED")</f>
        <v>Corporate Bond</v>
      </c>
      <c r="D61" s="16">
        <f>Raw_Data!G61</f>
        <v>3683</v>
      </c>
      <c r="E61" s="17">
        <f>Raw_Data!H61</f>
        <v>104.032</v>
      </c>
      <c r="F61" s="14">
        <f>IF(Raw_Data!I61="","",Raw_Data!I61)</f>
        <v>103.934</v>
      </c>
      <c r="G61" s="18">
        <f t="shared" si="0"/>
        <v>9.4290607500913061E-4</v>
      </c>
      <c r="H61" s="19">
        <f>IFERROR(INDEX(Thresholds!$B$2:$B$5,MATCH(C61,Thresholds!$A$2:$A$5,0)),"")</f>
        <v>5.0000000000000001E-3</v>
      </c>
      <c r="I61" s="20">
        <f t="shared" si="1"/>
        <v>360.93399999999622</v>
      </c>
      <c r="J61" s="11" t="str">
        <f t="shared" si="2"/>
        <v>OK</v>
      </c>
      <c r="K61" s="11" t="str">
        <f>IF(COUNTIF(Raw_Data!$A$2:A61,Raw_Data!A61)&gt;1,"DUP","UNIQUE")</f>
        <v>UNIQUE</v>
      </c>
      <c r="L61" s="11" t="str">
        <f>IF(Raw_Data!B61&lt;&gt;Thresholds!$E$1,"STALE","CURRENT")</f>
        <v>CURRENT</v>
      </c>
    </row>
    <row r="62" spans="1:12" x14ac:dyDescent="0.3">
      <c r="A62" s="15" t="str">
        <f>Raw_Data!A62</f>
        <v>P0060</v>
      </c>
      <c r="B62" s="15" t="str">
        <f>Raw_Data!C62</f>
        <v>New York Credit</v>
      </c>
      <c r="C62" s="11" t="str">
        <f>IFERROR(INDEX(Thresholds!$A$2:$A$5,MATCH(TRIM(Raw_Data!D62),Thresholds!$A$2:$A$5,0)),"UNMAPPED")</f>
        <v>Corporate Bond</v>
      </c>
      <c r="D62" s="16">
        <f>Raw_Data!G62</f>
        <v>9998</v>
      </c>
      <c r="E62" s="17">
        <f>Raw_Data!H62</f>
        <v>104.253</v>
      </c>
      <c r="F62" s="14">
        <f>IF(Raw_Data!I62="","",Raw_Data!I62)</f>
        <v>104.617</v>
      </c>
      <c r="G62" s="18">
        <f t="shared" si="0"/>
        <v>-3.479358039324434E-3</v>
      </c>
      <c r="H62" s="19">
        <f>IFERROR(INDEX(Thresholds!$B$2:$B$5,MATCH(C62,Thresholds!$A$2:$A$5,0)),"")</f>
        <v>5.0000000000000001E-3</v>
      </c>
      <c r="I62" s="20">
        <f t="shared" si="1"/>
        <v>-3639.2720000000431</v>
      </c>
      <c r="J62" s="11" t="str">
        <f t="shared" si="2"/>
        <v>OK</v>
      </c>
      <c r="K62" s="11" t="str">
        <f>IF(COUNTIF(Raw_Data!$A$2:A62,Raw_Data!A62)&gt;1,"DUP","UNIQUE")</f>
        <v>UNIQUE</v>
      </c>
      <c r="L62" s="11" t="str">
        <f>IF(Raw_Data!B62&lt;&gt;Thresholds!$E$1,"STALE","CURRENT")</f>
        <v>CURRENT</v>
      </c>
    </row>
    <row r="63" spans="1:12" x14ac:dyDescent="0.3">
      <c r="A63" s="15" t="str">
        <f>Raw_Data!A63</f>
        <v>P0061</v>
      </c>
      <c r="B63" s="15" t="str">
        <f>Raw_Data!C63</f>
        <v>London Credit</v>
      </c>
      <c r="C63" s="11" t="str">
        <f>IFERROR(INDEX(Thresholds!$A$2:$A$5,MATCH(TRIM(Raw_Data!D63),Thresholds!$A$2:$A$5,0)),"UNMAPPED")</f>
        <v>Corporate Bond</v>
      </c>
      <c r="D63" s="16">
        <f>Raw_Data!G63</f>
        <v>2307</v>
      </c>
      <c r="E63" s="17">
        <f>Raw_Data!H63</f>
        <v>96.932000000000002</v>
      </c>
      <c r="F63" s="14">
        <f>IF(Raw_Data!I63="","",Raw_Data!I63)</f>
        <v>97</v>
      </c>
      <c r="G63" s="18">
        <f t="shared" si="0"/>
        <v>-7.0103092783502924E-4</v>
      </c>
      <c r="H63" s="19">
        <f>IFERROR(INDEX(Thresholds!$B$2:$B$5,MATCH(C63,Thresholds!$A$2:$A$5,0)),"")</f>
        <v>5.0000000000000001E-3</v>
      </c>
      <c r="I63" s="20">
        <f t="shared" si="1"/>
        <v>-156.87599999999503</v>
      </c>
      <c r="J63" s="11" t="str">
        <f t="shared" si="2"/>
        <v>OK</v>
      </c>
      <c r="K63" s="11" t="str">
        <f>IF(COUNTIF(Raw_Data!$A$2:A63,Raw_Data!A63)&gt;1,"DUP","UNIQUE")</f>
        <v>UNIQUE</v>
      </c>
      <c r="L63" s="11" t="str">
        <f>IF(Raw_Data!B63&lt;&gt;Thresholds!$E$1,"STALE","CURRENT")</f>
        <v>CURRENT</v>
      </c>
    </row>
    <row r="64" spans="1:12" x14ac:dyDescent="0.3">
      <c r="A64" s="15" t="str">
        <f>Raw_Data!A64</f>
        <v>P0062</v>
      </c>
      <c r="B64" s="15" t="str">
        <f>Raw_Data!C64</f>
        <v>Zurich Equities</v>
      </c>
      <c r="C64" s="11" t="str">
        <f>IFERROR(INDEX(Thresholds!$A$2:$A$5,MATCH(TRIM(Raw_Data!D64),Thresholds!$A$2:$A$5,0)),"UNMAPPED")</f>
        <v>Equity</v>
      </c>
      <c r="D64" s="16">
        <f>Raw_Data!G64</f>
        <v>2158</v>
      </c>
      <c r="E64" s="17">
        <f>Raw_Data!H64</f>
        <v>38.869999999999997</v>
      </c>
      <c r="F64" s="14">
        <f>IF(Raw_Data!I64="","",Raw_Data!I64)</f>
        <v>38.86</v>
      </c>
      <c r="G64" s="18">
        <f t="shared" si="0"/>
        <v>2.5733401955733428E-4</v>
      </c>
      <c r="H64" s="19">
        <f>IFERROR(INDEX(Thresholds!$B$2:$B$5,MATCH(C64,Thresholds!$A$2:$A$5,0)),"")</f>
        <v>0.01</v>
      </c>
      <c r="I64" s="20">
        <f t="shared" si="1"/>
        <v>21.579999999995707</v>
      </c>
      <c r="J64" s="11" t="str">
        <f t="shared" si="2"/>
        <v>OK</v>
      </c>
      <c r="K64" s="11" t="str">
        <f>IF(COUNTIF(Raw_Data!$A$2:A64,Raw_Data!A64)&gt;1,"DUP","UNIQUE")</f>
        <v>UNIQUE</v>
      </c>
      <c r="L64" s="11" t="str">
        <f>IF(Raw_Data!B64&lt;&gt;Thresholds!$E$1,"STALE","CURRENT")</f>
        <v>CURRENT</v>
      </c>
    </row>
    <row r="65" spans="1:12" x14ac:dyDescent="0.3">
      <c r="A65" s="15" t="str">
        <f>Raw_Data!A65</f>
        <v>P0063</v>
      </c>
      <c r="B65" s="15" t="str">
        <f>Raw_Data!C65</f>
        <v>London Rates</v>
      </c>
      <c r="C65" s="11" t="str">
        <f>IFERROR(INDEX(Thresholds!$A$2:$A$5,MATCH(TRIM(Raw_Data!D65),Thresholds!$A$2:$A$5,0)),"UNMAPPED")</f>
        <v>Government Bond</v>
      </c>
      <c r="D65" s="16">
        <f>Raw_Data!G65</f>
        <v>14244</v>
      </c>
      <c r="E65" s="17">
        <f>Raw_Data!H65</f>
        <v>99.638999999999996</v>
      </c>
      <c r="F65" s="14">
        <f>IF(Raw_Data!I65="","",Raw_Data!I65)</f>
        <v>99.674000000000007</v>
      </c>
      <c r="G65" s="18">
        <f t="shared" si="0"/>
        <v>-3.5114473182586029E-4</v>
      </c>
      <c r="H65" s="19">
        <f>IFERROR(INDEX(Thresholds!$B$2:$B$5,MATCH(C65,Thresholds!$A$2:$A$5,0)),"")</f>
        <v>2.5000000000000001E-3</v>
      </c>
      <c r="I65" s="20">
        <f t="shared" si="1"/>
        <v>-498.54000000015384</v>
      </c>
      <c r="J65" s="11" t="str">
        <f t="shared" si="2"/>
        <v>OK</v>
      </c>
      <c r="K65" s="11" t="str">
        <f>IF(COUNTIF(Raw_Data!$A$2:A65,Raw_Data!A65)&gt;1,"DUP","UNIQUE")</f>
        <v>UNIQUE</v>
      </c>
      <c r="L65" s="11" t="str">
        <f>IF(Raw_Data!B65&lt;&gt;Thresholds!$E$1,"STALE","CURRENT")</f>
        <v>CURRENT</v>
      </c>
    </row>
    <row r="66" spans="1:12" x14ac:dyDescent="0.3">
      <c r="A66" s="15" t="str">
        <f>Raw_Data!A66</f>
        <v>P0064</v>
      </c>
      <c r="B66" s="15" t="str">
        <f>Raw_Data!C66</f>
        <v>Singapore FX</v>
      </c>
      <c r="C66" s="11" t="str">
        <f>IFERROR(INDEX(Thresholds!$A$2:$A$5,MATCH(TRIM(Raw_Data!D66),Thresholds!$A$2:$A$5,0)),"UNMAPPED")</f>
        <v>FX Forward</v>
      </c>
      <c r="D66" s="16">
        <f>Raw_Data!G66</f>
        <v>1321127</v>
      </c>
      <c r="E66" s="17">
        <f>Raw_Data!H66</f>
        <v>1.3961399999999999</v>
      </c>
      <c r="F66" s="14">
        <f>IF(Raw_Data!I66="","",Raw_Data!I66)</f>
        <v>1.39669</v>
      </c>
      <c r="G66" s="18">
        <f t="shared" ref="G66:G129" si="3">IF(F66="","",(E66-F66)/F66)</f>
        <v>-3.9378817060339117E-4</v>
      </c>
      <c r="H66" s="19">
        <f>IFERROR(INDEX(Thresholds!$B$2:$B$5,MATCH(C66,Thresholds!$A$2:$A$5,0)),"")</f>
        <v>3.0000000000000001E-3</v>
      </c>
      <c r="I66" s="20">
        <f t="shared" ref="I66:I129" si="4">IF(F66="","",D66*(E66-F66))</f>
        <v>-726.61985000006666</v>
      </c>
      <c r="J66" s="11" t="str">
        <f t="shared" ref="J66:J129" si="5">IF(C66="UNMAPPED","UNMAPPED ASSET CLASS",IF(F66="","NO INDEPENDENT PRICE",IF(ABS(G66)&gt;H66,"BREACH","OK")))</f>
        <v>OK</v>
      </c>
      <c r="K66" s="11" t="str">
        <f>IF(COUNTIF(Raw_Data!$A$2:A66,Raw_Data!A66)&gt;1,"DUP","UNIQUE")</f>
        <v>UNIQUE</v>
      </c>
      <c r="L66" s="11" t="str">
        <f>IF(Raw_Data!B66&lt;&gt;Thresholds!$E$1,"STALE","CURRENT")</f>
        <v>CURRENT</v>
      </c>
    </row>
    <row r="67" spans="1:12" x14ac:dyDescent="0.3">
      <c r="A67" s="15" t="str">
        <f>Raw_Data!A67</f>
        <v>P0065</v>
      </c>
      <c r="B67" s="15" t="str">
        <f>Raw_Data!C67</f>
        <v>Singapore Equities</v>
      </c>
      <c r="C67" s="11" t="str">
        <f>IFERROR(INDEX(Thresholds!$A$2:$A$5,MATCH(TRIM(Raw_Data!D67),Thresholds!$A$2:$A$5,0)),"UNMAPPED")</f>
        <v>Equity</v>
      </c>
      <c r="D67" s="16">
        <f>Raw_Data!G67</f>
        <v>38384</v>
      </c>
      <c r="E67" s="17">
        <f>Raw_Data!H67</f>
        <v>36.01</v>
      </c>
      <c r="F67" s="14">
        <f>IF(Raw_Data!I67="","",Raw_Data!I67)</f>
        <v>36.119999999999997</v>
      </c>
      <c r="G67" s="18">
        <f t="shared" si="3"/>
        <v>-3.0454042081948904E-3</v>
      </c>
      <c r="H67" s="19">
        <f>IFERROR(INDEX(Thresholds!$B$2:$B$5,MATCH(C67,Thresholds!$A$2:$A$5,0)),"")</f>
        <v>0.01</v>
      </c>
      <c r="I67" s="20">
        <f t="shared" si="4"/>
        <v>-4222.239999999978</v>
      </c>
      <c r="J67" s="11" t="str">
        <f t="shared" si="5"/>
        <v>OK</v>
      </c>
      <c r="K67" s="11" t="str">
        <f>IF(COUNTIF(Raw_Data!$A$2:A67,Raw_Data!A67)&gt;1,"DUP","UNIQUE")</f>
        <v>UNIQUE</v>
      </c>
      <c r="L67" s="11" t="str">
        <f>IF(Raw_Data!B67&lt;&gt;Thresholds!$E$1,"STALE","CURRENT")</f>
        <v>CURRENT</v>
      </c>
    </row>
    <row r="68" spans="1:12" x14ac:dyDescent="0.3">
      <c r="A68" s="15" t="str">
        <f>Raw_Data!A68</f>
        <v>P0066</v>
      </c>
      <c r="B68" s="15" t="str">
        <f>Raw_Data!C68</f>
        <v>Singapore Equities</v>
      </c>
      <c r="C68" s="11" t="str">
        <f>IFERROR(INDEX(Thresholds!$A$2:$A$5,MATCH(TRIM(Raw_Data!D68),Thresholds!$A$2:$A$5,0)),"UNMAPPED")</f>
        <v>Equity</v>
      </c>
      <c r="D68" s="16">
        <f>Raw_Data!G68</f>
        <v>22641</v>
      </c>
      <c r="E68" s="17">
        <f>Raw_Data!H68</f>
        <v>47.08</v>
      </c>
      <c r="F68" s="14">
        <f>IF(Raw_Data!I68="","",Raw_Data!I68)</f>
        <v>47.14</v>
      </c>
      <c r="G68" s="18">
        <f t="shared" si="3"/>
        <v>-1.2728044123886779E-3</v>
      </c>
      <c r="H68" s="19">
        <f>IFERROR(INDEX(Thresholds!$B$2:$B$5,MATCH(C68,Thresholds!$A$2:$A$5,0)),"")</f>
        <v>0.01</v>
      </c>
      <c r="I68" s="20">
        <f t="shared" si="4"/>
        <v>-1358.4600000000514</v>
      </c>
      <c r="J68" s="11" t="str">
        <f t="shared" si="5"/>
        <v>OK</v>
      </c>
      <c r="K68" s="11" t="str">
        <f>IF(COUNTIF(Raw_Data!$A$2:A68,Raw_Data!A68)&gt;1,"DUP","UNIQUE")</f>
        <v>UNIQUE</v>
      </c>
      <c r="L68" s="11" t="str">
        <f>IF(Raw_Data!B68&lt;&gt;Thresholds!$E$1,"STALE","CURRENT")</f>
        <v>CURRENT</v>
      </c>
    </row>
    <row r="69" spans="1:12" x14ac:dyDescent="0.3">
      <c r="A69" s="15" t="str">
        <f>Raw_Data!A69</f>
        <v>P0067</v>
      </c>
      <c r="B69" s="15" t="str">
        <f>Raw_Data!C69</f>
        <v>Singapore FX</v>
      </c>
      <c r="C69" s="11" t="str">
        <f>IFERROR(INDEX(Thresholds!$A$2:$A$5,MATCH(TRIM(Raw_Data!D69),Thresholds!$A$2:$A$5,0)),"UNMAPPED")</f>
        <v>FX Forward</v>
      </c>
      <c r="D69" s="16">
        <f>Raw_Data!G69</f>
        <v>4921871</v>
      </c>
      <c r="E69" s="17">
        <f>Raw_Data!H69</f>
        <v>1.1719200000000001</v>
      </c>
      <c r="F69" s="14">
        <f>IF(Raw_Data!I69="","",Raw_Data!I69)</f>
        <v>1.17058</v>
      </c>
      <c r="G69" s="18">
        <f t="shared" si="3"/>
        <v>1.1447316714791975E-3</v>
      </c>
      <c r="H69" s="19">
        <f>IFERROR(INDEX(Thresholds!$B$2:$B$5,MATCH(C69,Thresholds!$A$2:$A$5,0)),"")</f>
        <v>3.0000000000000001E-3</v>
      </c>
      <c r="I69" s="20">
        <f t="shared" si="4"/>
        <v>6595.3071400005847</v>
      </c>
      <c r="J69" s="11" t="str">
        <f t="shared" si="5"/>
        <v>OK</v>
      </c>
      <c r="K69" s="11" t="str">
        <f>IF(COUNTIF(Raw_Data!$A$2:A69,Raw_Data!A69)&gt;1,"DUP","UNIQUE")</f>
        <v>UNIQUE</v>
      </c>
      <c r="L69" s="11" t="str">
        <f>IF(Raw_Data!B69&lt;&gt;Thresholds!$E$1,"STALE","CURRENT")</f>
        <v>CURRENT</v>
      </c>
    </row>
    <row r="70" spans="1:12" x14ac:dyDescent="0.3">
      <c r="A70" s="15" t="str">
        <f>Raw_Data!A70</f>
        <v>P0068</v>
      </c>
      <c r="B70" s="15" t="str">
        <f>Raw_Data!C70</f>
        <v>Singapore Equities</v>
      </c>
      <c r="C70" s="11" t="str">
        <f>IFERROR(INDEX(Thresholds!$A$2:$A$5,MATCH(TRIM(Raw_Data!D70),Thresholds!$A$2:$A$5,0)),"UNMAPPED")</f>
        <v>Equity</v>
      </c>
      <c r="D70" s="16">
        <f>Raw_Data!G70</f>
        <v>36522</v>
      </c>
      <c r="E70" s="17">
        <f>Raw_Data!H70</f>
        <v>138.44</v>
      </c>
      <c r="F70" s="14">
        <f>IF(Raw_Data!I70="","",Raw_Data!I70)</f>
        <v>136.28</v>
      </c>
      <c r="G70" s="18">
        <f t="shared" si="3"/>
        <v>1.5849721162312862E-2</v>
      </c>
      <c r="H70" s="19">
        <f>IFERROR(INDEX(Thresholds!$B$2:$B$5,MATCH(C70,Thresholds!$A$2:$A$5,0)),"")</f>
        <v>0.01</v>
      </c>
      <c r="I70" s="20">
        <f t="shared" si="4"/>
        <v>78887.519999999873</v>
      </c>
      <c r="J70" s="11" t="str">
        <f t="shared" si="5"/>
        <v>BREACH</v>
      </c>
      <c r="K70" s="11" t="str">
        <f>IF(COUNTIF(Raw_Data!$A$2:A70,Raw_Data!A70)&gt;1,"DUP","UNIQUE")</f>
        <v>UNIQUE</v>
      </c>
      <c r="L70" s="11" t="str">
        <f>IF(Raw_Data!B70&lt;&gt;Thresholds!$E$1,"STALE","CURRENT")</f>
        <v>CURRENT</v>
      </c>
    </row>
    <row r="71" spans="1:12" x14ac:dyDescent="0.3">
      <c r="A71" s="15" t="str">
        <f>Raw_Data!A71</f>
        <v>P0069</v>
      </c>
      <c r="B71" s="15" t="str">
        <f>Raw_Data!C71</f>
        <v>Zurich Equities</v>
      </c>
      <c r="C71" s="11" t="str">
        <f>IFERROR(INDEX(Thresholds!$A$2:$A$5,MATCH(TRIM(Raw_Data!D71),Thresholds!$A$2:$A$5,0)),"UNMAPPED")</f>
        <v>Equity</v>
      </c>
      <c r="D71" s="16">
        <f>Raw_Data!G71</f>
        <v>13980</v>
      </c>
      <c r="E71" s="17">
        <f>Raw_Data!H71</f>
        <v>94.22</v>
      </c>
      <c r="F71" s="14">
        <f>IF(Raw_Data!I71="","",Raw_Data!I71)</f>
        <v>93.88</v>
      </c>
      <c r="G71" s="18">
        <f t="shared" si="3"/>
        <v>3.6216446527482255E-3</v>
      </c>
      <c r="H71" s="19">
        <f>IFERROR(INDEX(Thresholds!$B$2:$B$5,MATCH(C71,Thresholds!$A$2:$A$5,0)),"")</f>
        <v>0.01</v>
      </c>
      <c r="I71" s="20">
        <f t="shared" si="4"/>
        <v>4753.200000000048</v>
      </c>
      <c r="J71" s="11" t="str">
        <f t="shared" si="5"/>
        <v>OK</v>
      </c>
      <c r="K71" s="11" t="str">
        <f>IF(COUNTIF(Raw_Data!$A$2:A71,Raw_Data!A71)&gt;1,"DUP","UNIQUE")</f>
        <v>UNIQUE</v>
      </c>
      <c r="L71" s="11" t="str">
        <f>IF(Raw_Data!B71&lt;&gt;Thresholds!$E$1,"STALE","CURRENT")</f>
        <v>CURRENT</v>
      </c>
    </row>
    <row r="72" spans="1:12" x14ac:dyDescent="0.3">
      <c r="A72" s="15" t="str">
        <f>Raw_Data!A72</f>
        <v>P0070</v>
      </c>
      <c r="B72" s="15" t="str">
        <f>Raw_Data!C72</f>
        <v>Zurich Equities</v>
      </c>
      <c r="C72" s="11" t="str">
        <f>IFERROR(INDEX(Thresholds!$A$2:$A$5,MATCH(TRIM(Raw_Data!D72),Thresholds!$A$2:$A$5,0)),"UNMAPPED")</f>
        <v>Equity</v>
      </c>
      <c r="D72" s="16">
        <f>Raw_Data!G72</f>
        <v>17189</v>
      </c>
      <c r="E72" s="17">
        <f>Raw_Data!H72</f>
        <v>137.38</v>
      </c>
      <c r="F72" s="14">
        <f>IF(Raw_Data!I72="","",Raw_Data!I72)</f>
        <v>138.11000000000001</v>
      </c>
      <c r="G72" s="18">
        <f t="shared" si="3"/>
        <v>-5.2856418796612707E-3</v>
      </c>
      <c r="H72" s="19">
        <f>IFERROR(INDEX(Thresholds!$B$2:$B$5,MATCH(C72,Thresholds!$A$2:$A$5,0)),"")</f>
        <v>0.01</v>
      </c>
      <c r="I72" s="20">
        <f t="shared" si="4"/>
        <v>-12547.970000000312</v>
      </c>
      <c r="J72" s="11" t="str">
        <f t="shared" si="5"/>
        <v>OK</v>
      </c>
      <c r="K72" s="11" t="str">
        <f>IF(COUNTIF(Raw_Data!$A$2:A72,Raw_Data!A72)&gt;1,"DUP","UNIQUE")</f>
        <v>UNIQUE</v>
      </c>
      <c r="L72" s="11" t="str">
        <f>IF(Raw_Data!B72&lt;&gt;Thresholds!$E$1,"STALE","CURRENT")</f>
        <v>CURRENT</v>
      </c>
    </row>
    <row r="73" spans="1:12" x14ac:dyDescent="0.3">
      <c r="A73" s="15" t="str">
        <f>Raw_Data!A73</f>
        <v>P0071</v>
      </c>
      <c r="B73" s="15" t="str">
        <f>Raw_Data!C73</f>
        <v>Singapore FX</v>
      </c>
      <c r="C73" s="11" t="str">
        <f>IFERROR(INDEX(Thresholds!$A$2:$A$5,MATCH(TRIM(Raw_Data!D73),Thresholds!$A$2:$A$5,0)),"UNMAPPED")</f>
        <v>FX Forward</v>
      </c>
      <c r="D73" s="16">
        <f>Raw_Data!G73</f>
        <v>3434331</v>
      </c>
      <c r="E73" s="17">
        <f>Raw_Data!H73</f>
        <v>1.22326</v>
      </c>
      <c r="F73" s="14">
        <f>IF(Raw_Data!I73="","",Raw_Data!I73)</f>
        <v>1.2234</v>
      </c>
      <c r="G73" s="18">
        <f t="shared" si="3"/>
        <v>-1.1443518064413028E-4</v>
      </c>
      <c r="H73" s="19">
        <f>IFERROR(INDEX(Thresholds!$B$2:$B$5,MATCH(C73,Thresholds!$A$2:$A$5,0)),"")</f>
        <v>3.0000000000000001E-3</v>
      </c>
      <c r="I73" s="20">
        <f t="shared" si="4"/>
        <v>-480.80634000009957</v>
      </c>
      <c r="J73" s="11" t="str">
        <f t="shared" si="5"/>
        <v>OK</v>
      </c>
      <c r="K73" s="11" t="str">
        <f>IF(COUNTIF(Raw_Data!$A$2:A73,Raw_Data!A73)&gt;1,"DUP","UNIQUE")</f>
        <v>UNIQUE</v>
      </c>
      <c r="L73" s="11" t="str">
        <f>IF(Raw_Data!B73&lt;&gt;Thresholds!$E$1,"STALE","CURRENT")</f>
        <v>CURRENT</v>
      </c>
    </row>
    <row r="74" spans="1:12" x14ac:dyDescent="0.3">
      <c r="A74" s="15" t="str">
        <f>Raw_Data!A74</f>
        <v>P0072</v>
      </c>
      <c r="B74" s="15" t="str">
        <f>Raw_Data!C74</f>
        <v>Singapore Equities</v>
      </c>
      <c r="C74" s="11" t="str">
        <f>IFERROR(INDEX(Thresholds!$A$2:$A$5,MATCH(TRIM(Raw_Data!D74),Thresholds!$A$2:$A$5,0)),"UNMAPPED")</f>
        <v>Equity</v>
      </c>
      <c r="D74" s="16">
        <f>Raw_Data!G74</f>
        <v>10465</v>
      </c>
      <c r="E74" s="17">
        <f>Raw_Data!H74</f>
        <v>235.21</v>
      </c>
      <c r="F74" s="14">
        <f>IF(Raw_Data!I74="","",Raw_Data!I74)</f>
        <v>235.74</v>
      </c>
      <c r="G74" s="18">
        <f t="shared" si="3"/>
        <v>-2.2482395859845638E-3</v>
      </c>
      <c r="H74" s="19">
        <f>IFERROR(INDEX(Thresholds!$B$2:$B$5,MATCH(C74,Thresholds!$A$2:$A$5,0)),"")</f>
        <v>0.01</v>
      </c>
      <c r="I74" s="20">
        <f t="shared" si="4"/>
        <v>-5546.4500000000116</v>
      </c>
      <c r="J74" s="11" t="str">
        <f t="shared" si="5"/>
        <v>OK</v>
      </c>
      <c r="K74" s="11" t="str">
        <f>IF(COUNTIF(Raw_Data!$A$2:A74,Raw_Data!A74)&gt;1,"DUP","UNIQUE")</f>
        <v>UNIQUE</v>
      </c>
      <c r="L74" s="11" t="str">
        <f>IF(Raw_Data!B74&lt;&gt;Thresholds!$E$1,"STALE","CURRENT")</f>
        <v>CURRENT</v>
      </c>
    </row>
    <row r="75" spans="1:12" x14ac:dyDescent="0.3">
      <c r="A75" s="15" t="str">
        <f>Raw_Data!A75</f>
        <v>P0073</v>
      </c>
      <c r="B75" s="15" t="str">
        <f>Raw_Data!C75</f>
        <v>Zurich Equities</v>
      </c>
      <c r="C75" s="11" t="str">
        <f>IFERROR(INDEX(Thresholds!$A$2:$A$5,MATCH(TRIM(Raw_Data!D75),Thresholds!$A$2:$A$5,0)),"UNMAPPED")</f>
        <v>Equity</v>
      </c>
      <c r="D75" s="16">
        <f>Raw_Data!G75</f>
        <v>37434</v>
      </c>
      <c r="E75" s="17">
        <f>Raw_Data!H75</f>
        <v>209.06</v>
      </c>
      <c r="F75" s="14">
        <f>IF(Raw_Data!I75="","",Raw_Data!I75)</f>
        <v>209.01</v>
      </c>
      <c r="G75" s="18">
        <f t="shared" si="3"/>
        <v>2.3922300368408865E-4</v>
      </c>
      <c r="H75" s="19">
        <f>IFERROR(INDEX(Thresholds!$B$2:$B$5,MATCH(C75,Thresholds!$A$2:$A$5,0)),"")</f>
        <v>0.01</v>
      </c>
      <c r="I75" s="20">
        <f t="shared" si="4"/>
        <v>1871.7000000004255</v>
      </c>
      <c r="J75" s="11" t="str">
        <f t="shared" si="5"/>
        <v>OK</v>
      </c>
      <c r="K75" s="11" t="str">
        <f>IF(COUNTIF(Raw_Data!$A$2:A75,Raw_Data!A75)&gt;1,"DUP","UNIQUE")</f>
        <v>UNIQUE</v>
      </c>
      <c r="L75" s="11" t="str">
        <f>IF(Raw_Data!B75&lt;&gt;Thresholds!$E$1,"STALE","CURRENT")</f>
        <v>CURRENT</v>
      </c>
    </row>
    <row r="76" spans="1:12" x14ac:dyDescent="0.3">
      <c r="A76" s="15" t="str">
        <f>Raw_Data!A76</f>
        <v>P0074</v>
      </c>
      <c r="B76" s="15" t="str">
        <f>Raw_Data!C76</f>
        <v>Singapore Equities</v>
      </c>
      <c r="C76" s="11" t="str">
        <f>IFERROR(INDEX(Thresholds!$A$2:$A$5,MATCH(TRIM(Raw_Data!D76),Thresholds!$A$2:$A$5,0)),"UNMAPPED")</f>
        <v>Equity</v>
      </c>
      <c r="D76" s="16">
        <f>Raw_Data!G76</f>
        <v>32116</v>
      </c>
      <c r="E76" s="17">
        <f>Raw_Data!H76</f>
        <v>77.010000000000005</v>
      </c>
      <c r="F76" s="14">
        <f>IF(Raw_Data!I76="","",Raw_Data!I76)</f>
        <v>75.66</v>
      </c>
      <c r="G76" s="18">
        <f t="shared" si="3"/>
        <v>1.7842981760507647E-2</v>
      </c>
      <c r="H76" s="19">
        <f>IFERROR(INDEX(Thresholds!$B$2:$B$5,MATCH(C76,Thresholds!$A$2:$A$5,0)),"")</f>
        <v>0.01</v>
      </c>
      <c r="I76" s="20">
        <f t="shared" si="4"/>
        <v>43356.600000000275</v>
      </c>
      <c r="J76" s="11" t="str">
        <f t="shared" si="5"/>
        <v>BREACH</v>
      </c>
      <c r="K76" s="11" t="str">
        <f>IF(COUNTIF(Raw_Data!$A$2:A76,Raw_Data!A76)&gt;1,"DUP","UNIQUE")</f>
        <v>UNIQUE</v>
      </c>
      <c r="L76" s="11" t="str">
        <f>IF(Raw_Data!B76&lt;&gt;Thresholds!$E$1,"STALE","CURRENT")</f>
        <v>CURRENT</v>
      </c>
    </row>
    <row r="77" spans="1:12" x14ac:dyDescent="0.3">
      <c r="A77" s="15" t="str">
        <f>Raw_Data!A77</f>
        <v>P0075</v>
      </c>
      <c r="B77" s="15" t="str">
        <f>Raw_Data!C77</f>
        <v>Singapore Equities</v>
      </c>
      <c r="C77" s="11" t="str">
        <f>IFERROR(INDEX(Thresholds!$A$2:$A$5,MATCH(TRIM(Raw_Data!D77),Thresholds!$A$2:$A$5,0)),"UNMAPPED")</f>
        <v>Equity</v>
      </c>
      <c r="D77" s="16">
        <f>Raw_Data!G77</f>
        <v>44020</v>
      </c>
      <c r="E77" s="17">
        <f>Raw_Data!H77</f>
        <v>119.48</v>
      </c>
      <c r="F77" s="14">
        <f>IF(Raw_Data!I77="","",Raw_Data!I77)</f>
        <v>119.15</v>
      </c>
      <c r="G77" s="18">
        <f t="shared" si="3"/>
        <v>2.7696181284095531E-3</v>
      </c>
      <c r="H77" s="19">
        <f>IFERROR(INDEX(Thresholds!$B$2:$B$5,MATCH(C77,Thresholds!$A$2:$A$5,0)),"")</f>
        <v>0.01</v>
      </c>
      <c r="I77" s="20">
        <f t="shared" si="4"/>
        <v>14526.599999999926</v>
      </c>
      <c r="J77" s="11" t="str">
        <f t="shared" si="5"/>
        <v>OK</v>
      </c>
      <c r="K77" s="11" t="str">
        <f>IF(COUNTIF(Raw_Data!$A$2:A77,Raw_Data!A77)&gt;1,"DUP","UNIQUE")</f>
        <v>UNIQUE</v>
      </c>
      <c r="L77" s="11" t="str">
        <f>IF(Raw_Data!B77&lt;&gt;Thresholds!$E$1,"STALE","CURRENT")</f>
        <v>CURRENT</v>
      </c>
    </row>
    <row r="78" spans="1:12" x14ac:dyDescent="0.3">
      <c r="A78" s="15" t="str">
        <f>Raw_Data!A78</f>
        <v>P0076</v>
      </c>
      <c r="B78" s="15" t="str">
        <f>Raw_Data!C78</f>
        <v>New York Credit</v>
      </c>
      <c r="C78" s="11" t="str">
        <f>IFERROR(INDEX(Thresholds!$A$2:$A$5,MATCH(TRIM(Raw_Data!D78),Thresholds!$A$2:$A$5,0)),"UNMAPPED")</f>
        <v>Corporate Bond</v>
      </c>
      <c r="D78" s="16">
        <f>Raw_Data!G78</f>
        <v>9742</v>
      </c>
      <c r="E78" s="17">
        <f>Raw_Data!H78</f>
        <v>104.836</v>
      </c>
      <c r="F78" s="14">
        <f>IF(Raw_Data!I78="","",Raw_Data!I78)</f>
        <v>104.523</v>
      </c>
      <c r="G78" s="18">
        <f t="shared" si="3"/>
        <v>2.994556222075547E-3</v>
      </c>
      <c r="H78" s="19">
        <f>IFERROR(INDEX(Thresholds!$B$2:$B$5,MATCH(C78,Thresholds!$A$2:$A$5,0)),"")</f>
        <v>5.0000000000000001E-3</v>
      </c>
      <c r="I78" s="20">
        <f t="shared" si="4"/>
        <v>3049.2460000000233</v>
      </c>
      <c r="J78" s="11" t="str">
        <f t="shared" si="5"/>
        <v>OK</v>
      </c>
      <c r="K78" s="11" t="str">
        <f>IF(COUNTIF(Raw_Data!$A$2:A78,Raw_Data!A78)&gt;1,"DUP","UNIQUE")</f>
        <v>UNIQUE</v>
      </c>
      <c r="L78" s="11" t="str">
        <f>IF(Raw_Data!B78&lt;&gt;Thresholds!$E$1,"STALE","CURRENT")</f>
        <v>CURRENT</v>
      </c>
    </row>
    <row r="79" spans="1:12" x14ac:dyDescent="0.3">
      <c r="A79" s="15" t="str">
        <f>Raw_Data!A79</f>
        <v>P0077</v>
      </c>
      <c r="B79" s="15" t="str">
        <f>Raw_Data!C79</f>
        <v>Singapore FX</v>
      </c>
      <c r="C79" s="11" t="str">
        <f>IFERROR(INDEX(Thresholds!$A$2:$A$5,MATCH(TRIM(Raw_Data!D79),Thresholds!$A$2:$A$5,0)),"UNMAPPED")</f>
        <v>FX Forward</v>
      </c>
      <c r="D79" s="16">
        <f>Raw_Data!G79</f>
        <v>1159030</v>
      </c>
      <c r="E79" s="17">
        <f>Raw_Data!H79</f>
        <v>1.5648200000000001</v>
      </c>
      <c r="F79" s="14">
        <f>IF(Raw_Data!I79="","",Raw_Data!I79)</f>
        <v>1.56856</v>
      </c>
      <c r="G79" s="18">
        <f t="shared" si="3"/>
        <v>-2.3843525271585752E-3</v>
      </c>
      <c r="H79" s="19">
        <f>IFERROR(INDEX(Thresholds!$B$2:$B$5,MATCH(C79,Thresholds!$A$2:$A$5,0)),"")</f>
        <v>3.0000000000000001E-3</v>
      </c>
      <c r="I79" s="20">
        <f t="shared" si="4"/>
        <v>-4334.7721999998312</v>
      </c>
      <c r="J79" s="11" t="str">
        <f t="shared" si="5"/>
        <v>OK</v>
      </c>
      <c r="K79" s="11" t="str">
        <f>IF(COUNTIF(Raw_Data!$A$2:A79,Raw_Data!A79)&gt;1,"DUP","UNIQUE")</f>
        <v>UNIQUE</v>
      </c>
      <c r="L79" s="11" t="str">
        <f>IF(Raw_Data!B79&lt;&gt;Thresholds!$E$1,"STALE","CURRENT")</f>
        <v>CURRENT</v>
      </c>
    </row>
    <row r="80" spans="1:12" x14ac:dyDescent="0.3">
      <c r="A80" s="15" t="str">
        <f>Raw_Data!A80</f>
        <v>P0078</v>
      </c>
      <c r="B80" s="15" t="str">
        <f>Raw_Data!C80</f>
        <v>Singapore Equities</v>
      </c>
      <c r="C80" s="11" t="str">
        <f>IFERROR(INDEX(Thresholds!$A$2:$A$5,MATCH(TRIM(Raw_Data!D80),Thresholds!$A$2:$A$5,0)),"UNMAPPED")</f>
        <v>Equity</v>
      </c>
      <c r="D80" s="16">
        <f>Raw_Data!G80</f>
        <v>6281</v>
      </c>
      <c r="E80" s="17">
        <f>Raw_Data!H80</f>
        <v>88.04</v>
      </c>
      <c r="F80" s="14">
        <f>IF(Raw_Data!I80="","",Raw_Data!I80)</f>
        <v>88.49</v>
      </c>
      <c r="G80" s="18">
        <f t="shared" si="3"/>
        <v>-5.0853203751835083E-3</v>
      </c>
      <c r="H80" s="19">
        <f>IFERROR(INDEX(Thresholds!$B$2:$B$5,MATCH(C80,Thresholds!$A$2:$A$5,0)),"")</f>
        <v>0.01</v>
      </c>
      <c r="I80" s="20">
        <f t="shared" si="4"/>
        <v>-2826.4499999999284</v>
      </c>
      <c r="J80" s="11" t="str">
        <f t="shared" si="5"/>
        <v>OK</v>
      </c>
      <c r="K80" s="11" t="str">
        <f>IF(COUNTIF(Raw_Data!$A$2:A80,Raw_Data!A80)&gt;1,"DUP","UNIQUE")</f>
        <v>UNIQUE</v>
      </c>
      <c r="L80" s="11" t="str">
        <f>IF(Raw_Data!B80&lt;&gt;Thresholds!$E$1,"STALE","CURRENT")</f>
        <v>CURRENT</v>
      </c>
    </row>
    <row r="81" spans="1:12" x14ac:dyDescent="0.3">
      <c r="A81" s="15" t="str">
        <f>Raw_Data!A81</f>
        <v>P0079</v>
      </c>
      <c r="B81" s="15" t="str">
        <f>Raw_Data!C81</f>
        <v>Zurich FX</v>
      </c>
      <c r="C81" s="11" t="str">
        <f>IFERROR(INDEX(Thresholds!$A$2:$A$5,MATCH(TRIM(Raw_Data!D81),Thresholds!$A$2:$A$5,0)),"UNMAPPED")</f>
        <v>FX Forward</v>
      </c>
      <c r="D81" s="16">
        <f>Raw_Data!G81</f>
        <v>1984925</v>
      </c>
      <c r="E81" s="17">
        <f>Raw_Data!H81</f>
        <v>0.91074999999999995</v>
      </c>
      <c r="F81" s="14">
        <f>IF(Raw_Data!I81="","",Raw_Data!I81)</f>
        <v>0.90935999999999995</v>
      </c>
      <c r="G81" s="18">
        <f t="shared" si="3"/>
        <v>1.5285475499252248E-3</v>
      </c>
      <c r="H81" s="19">
        <f>IFERROR(INDEX(Thresholds!$B$2:$B$5,MATCH(C81,Thresholds!$A$2:$A$5,0)),"")</f>
        <v>3.0000000000000001E-3</v>
      </c>
      <c r="I81" s="20">
        <f t="shared" si="4"/>
        <v>2759.0457500000048</v>
      </c>
      <c r="J81" s="11" t="str">
        <f t="shared" si="5"/>
        <v>OK</v>
      </c>
      <c r="K81" s="11" t="str">
        <f>IF(COUNTIF(Raw_Data!$A$2:A81,Raw_Data!A81)&gt;1,"DUP","UNIQUE")</f>
        <v>UNIQUE</v>
      </c>
      <c r="L81" s="11" t="str">
        <f>IF(Raw_Data!B81&lt;&gt;Thresholds!$E$1,"STALE","CURRENT")</f>
        <v>CURRENT</v>
      </c>
    </row>
    <row r="82" spans="1:12" x14ac:dyDescent="0.3">
      <c r="A82" s="15" t="str">
        <f>Raw_Data!A82</f>
        <v>P0080</v>
      </c>
      <c r="B82" s="15" t="str">
        <f>Raw_Data!C82</f>
        <v>New York Credit</v>
      </c>
      <c r="C82" s="11" t="str">
        <f>IFERROR(INDEX(Thresholds!$A$2:$A$5,MATCH(TRIM(Raw_Data!D82),Thresholds!$A$2:$A$5,0)),"UNMAPPED")</f>
        <v>Corporate Bond</v>
      </c>
      <c r="D82" s="16">
        <f>Raw_Data!G82</f>
        <v>18675</v>
      </c>
      <c r="E82" s="17">
        <f>Raw_Data!H82</f>
        <v>92.31</v>
      </c>
      <c r="F82" s="14" t="str">
        <f>IF(Raw_Data!I82="","",Raw_Data!I82)</f>
        <v/>
      </c>
      <c r="G82" s="18" t="str">
        <f t="shared" si="3"/>
        <v/>
      </c>
      <c r="H82" s="19">
        <f>IFERROR(INDEX(Thresholds!$B$2:$B$5,MATCH(C82,Thresholds!$A$2:$A$5,0)),"")</f>
        <v>5.0000000000000001E-3</v>
      </c>
      <c r="I82" s="20" t="str">
        <f t="shared" si="4"/>
        <v/>
      </c>
      <c r="J82" s="11" t="str">
        <f t="shared" si="5"/>
        <v>NO INDEPENDENT PRICE</v>
      </c>
      <c r="K82" s="11" t="str">
        <f>IF(COUNTIF(Raw_Data!$A$2:A82,Raw_Data!A82)&gt;1,"DUP","UNIQUE")</f>
        <v>UNIQUE</v>
      </c>
      <c r="L82" s="11" t="str">
        <f>IF(Raw_Data!B82&lt;&gt;Thresholds!$E$1,"STALE","CURRENT")</f>
        <v>CURRENT</v>
      </c>
    </row>
    <row r="83" spans="1:12" x14ac:dyDescent="0.3">
      <c r="A83" s="15" t="str">
        <f>Raw_Data!A83</f>
        <v>P0081</v>
      </c>
      <c r="B83" s="15" t="str">
        <f>Raw_Data!C83</f>
        <v>Zurich FX</v>
      </c>
      <c r="C83" s="11" t="str">
        <f>IFERROR(INDEX(Thresholds!$A$2:$A$5,MATCH(TRIM(Raw_Data!D83),Thresholds!$A$2:$A$5,0)),"UNMAPPED")</f>
        <v>FX Forward</v>
      </c>
      <c r="D83" s="16">
        <f>Raw_Data!G83</f>
        <v>4363433</v>
      </c>
      <c r="E83" s="17">
        <f>Raw_Data!H83</f>
        <v>1.0567899999999999</v>
      </c>
      <c r="F83" s="14">
        <f>IF(Raw_Data!I83="","",Raw_Data!I83)</f>
        <v>1.05616</v>
      </c>
      <c r="G83" s="18">
        <f t="shared" si="3"/>
        <v>5.9650053022260684E-4</v>
      </c>
      <c r="H83" s="19">
        <f>IFERROR(INDEX(Thresholds!$B$2:$B$5,MATCH(C83,Thresholds!$A$2:$A$5,0)),"")</f>
        <v>3.0000000000000001E-3</v>
      </c>
      <c r="I83" s="20">
        <f t="shared" si="4"/>
        <v>2748.9627899996003</v>
      </c>
      <c r="J83" s="11" t="str">
        <f t="shared" si="5"/>
        <v>OK</v>
      </c>
      <c r="K83" s="11" t="str">
        <f>IF(COUNTIF(Raw_Data!$A$2:A83,Raw_Data!A83)&gt;1,"DUP","UNIQUE")</f>
        <v>UNIQUE</v>
      </c>
      <c r="L83" s="11" t="str">
        <f>IF(Raw_Data!B83&lt;&gt;Thresholds!$E$1,"STALE","CURRENT")</f>
        <v>CURRENT</v>
      </c>
    </row>
    <row r="84" spans="1:12" x14ac:dyDescent="0.3">
      <c r="A84" s="15" t="str">
        <f>Raw_Data!A84</f>
        <v>P0082</v>
      </c>
      <c r="B84" s="15" t="str">
        <f>Raw_Data!C84</f>
        <v>London Credit</v>
      </c>
      <c r="C84" s="11" t="str">
        <f>IFERROR(INDEX(Thresholds!$A$2:$A$5,MATCH(TRIM(Raw_Data!D84),Thresholds!$A$2:$A$5,0)),"UNMAPPED")</f>
        <v>Corporate Bond</v>
      </c>
      <c r="D84" s="16">
        <f>Raw_Data!G84</f>
        <v>4492</v>
      </c>
      <c r="E84" s="17">
        <f>Raw_Data!H84</f>
        <v>106.283</v>
      </c>
      <c r="F84" s="14">
        <f>IF(Raw_Data!I84="","",Raw_Data!I84)</f>
        <v>106.105</v>
      </c>
      <c r="G84" s="18">
        <f t="shared" si="3"/>
        <v>1.6775835257527663E-3</v>
      </c>
      <c r="H84" s="19">
        <f>IFERROR(INDEX(Thresholds!$B$2:$B$5,MATCH(C84,Thresholds!$A$2:$A$5,0)),"")</f>
        <v>5.0000000000000001E-3</v>
      </c>
      <c r="I84" s="20">
        <f t="shared" si="4"/>
        <v>799.57599999998774</v>
      </c>
      <c r="J84" s="11" t="str">
        <f t="shared" si="5"/>
        <v>OK</v>
      </c>
      <c r="K84" s="11" t="str">
        <f>IF(COUNTIF(Raw_Data!$A$2:A84,Raw_Data!A84)&gt;1,"DUP","UNIQUE")</f>
        <v>UNIQUE</v>
      </c>
      <c r="L84" s="11" t="str">
        <f>IF(Raw_Data!B84&lt;&gt;Thresholds!$E$1,"STALE","CURRENT")</f>
        <v>CURRENT</v>
      </c>
    </row>
    <row r="85" spans="1:12" x14ac:dyDescent="0.3">
      <c r="A85" s="15" t="str">
        <f>Raw_Data!A85</f>
        <v>P0083</v>
      </c>
      <c r="B85" s="15" t="str">
        <f>Raw_Data!C85</f>
        <v>Singapore FX</v>
      </c>
      <c r="C85" s="11" t="str">
        <f>IFERROR(INDEX(Thresholds!$A$2:$A$5,MATCH(TRIM(Raw_Data!D85),Thresholds!$A$2:$A$5,0)),"UNMAPPED")</f>
        <v>FX Forward</v>
      </c>
      <c r="D85" s="16">
        <f>Raw_Data!G85</f>
        <v>1375951</v>
      </c>
      <c r="E85" s="17">
        <f>Raw_Data!H85</f>
        <v>0.98607999999999996</v>
      </c>
      <c r="F85" s="14">
        <f>IF(Raw_Data!I85="","",Raw_Data!I85)</f>
        <v>0.98750000000000004</v>
      </c>
      <c r="G85" s="18">
        <f t="shared" si="3"/>
        <v>-1.4379746835443926E-3</v>
      </c>
      <c r="H85" s="19">
        <f>IFERROR(INDEX(Thresholds!$B$2:$B$5,MATCH(C85,Thresholds!$A$2:$A$5,0)),"")</f>
        <v>3.0000000000000001E-3</v>
      </c>
      <c r="I85" s="20">
        <f t="shared" si="4"/>
        <v>-1953.8504200001209</v>
      </c>
      <c r="J85" s="11" t="str">
        <f t="shared" si="5"/>
        <v>OK</v>
      </c>
      <c r="K85" s="11" t="str">
        <f>IF(COUNTIF(Raw_Data!$A$2:A85,Raw_Data!A85)&gt;1,"DUP","UNIQUE")</f>
        <v>UNIQUE</v>
      </c>
      <c r="L85" s="11" t="str">
        <f>IF(Raw_Data!B85&lt;&gt;Thresholds!$E$1,"STALE","CURRENT")</f>
        <v>CURRENT</v>
      </c>
    </row>
    <row r="86" spans="1:12" x14ac:dyDescent="0.3">
      <c r="A86" s="15" t="str">
        <f>Raw_Data!A86</f>
        <v>P0084</v>
      </c>
      <c r="B86" s="15" t="str">
        <f>Raw_Data!C86</f>
        <v>Zurich Equities</v>
      </c>
      <c r="C86" s="11" t="str">
        <f>IFERROR(INDEX(Thresholds!$A$2:$A$5,MATCH(TRIM(Raw_Data!D86),Thresholds!$A$2:$A$5,0)),"UNMAPPED")</f>
        <v>Equity</v>
      </c>
      <c r="D86" s="16">
        <f>Raw_Data!G86</f>
        <v>35527</v>
      </c>
      <c r="E86" s="17">
        <f>Raw_Data!H86</f>
        <v>34.159999999999997</v>
      </c>
      <c r="F86" s="14">
        <f>IF(Raw_Data!I86="","",Raw_Data!I86)</f>
        <v>34.21</v>
      </c>
      <c r="G86" s="18">
        <f t="shared" si="3"/>
        <v>-1.4615609470916182E-3</v>
      </c>
      <c r="H86" s="19">
        <f>IFERROR(INDEX(Thresholds!$B$2:$B$5,MATCH(C86,Thresholds!$A$2:$A$5,0)),"")</f>
        <v>0.01</v>
      </c>
      <c r="I86" s="20">
        <f t="shared" si="4"/>
        <v>-1776.3500000001516</v>
      </c>
      <c r="J86" s="11" t="str">
        <f t="shared" si="5"/>
        <v>OK</v>
      </c>
      <c r="K86" s="11" t="str">
        <f>IF(COUNTIF(Raw_Data!$A$2:A86,Raw_Data!A86)&gt;1,"DUP","UNIQUE")</f>
        <v>UNIQUE</v>
      </c>
      <c r="L86" s="11" t="str">
        <f>IF(Raw_Data!B86&lt;&gt;Thresholds!$E$1,"STALE","CURRENT")</f>
        <v>CURRENT</v>
      </c>
    </row>
    <row r="87" spans="1:12" x14ac:dyDescent="0.3">
      <c r="A87" s="15" t="str">
        <f>Raw_Data!A87</f>
        <v>P0085</v>
      </c>
      <c r="B87" s="15" t="str">
        <f>Raw_Data!C87</f>
        <v>London Rates</v>
      </c>
      <c r="C87" s="11" t="str">
        <f>IFERROR(INDEX(Thresholds!$A$2:$A$5,MATCH(TRIM(Raw_Data!D87),Thresholds!$A$2:$A$5,0)),"UNMAPPED")</f>
        <v>Government Bond</v>
      </c>
      <c r="D87" s="16">
        <f>Raw_Data!G87</f>
        <v>18096</v>
      </c>
      <c r="E87" s="17">
        <f>Raw_Data!H87</f>
        <v>99.483999999999995</v>
      </c>
      <c r="F87" s="14">
        <f>IF(Raw_Data!I87="","",Raw_Data!I87)</f>
        <v>99.518000000000001</v>
      </c>
      <c r="G87" s="18">
        <f t="shared" si="3"/>
        <v>-3.4164673727371959E-4</v>
      </c>
      <c r="H87" s="19">
        <f>IFERROR(INDEX(Thresholds!$B$2:$B$5,MATCH(C87,Thresholds!$A$2:$A$5,0)),"")</f>
        <v>2.5000000000000001E-3</v>
      </c>
      <c r="I87" s="20">
        <f t="shared" si="4"/>
        <v>-615.26400000010904</v>
      </c>
      <c r="J87" s="11" t="str">
        <f t="shared" si="5"/>
        <v>OK</v>
      </c>
      <c r="K87" s="11" t="str">
        <f>IF(COUNTIF(Raw_Data!$A$2:A87,Raw_Data!A87)&gt;1,"DUP","UNIQUE")</f>
        <v>UNIQUE</v>
      </c>
      <c r="L87" s="11" t="str">
        <f>IF(Raw_Data!B87&lt;&gt;Thresholds!$E$1,"STALE","CURRENT")</f>
        <v>CURRENT</v>
      </c>
    </row>
    <row r="88" spans="1:12" x14ac:dyDescent="0.3">
      <c r="A88" s="15" t="str">
        <f>Raw_Data!A88</f>
        <v>P0086</v>
      </c>
      <c r="B88" s="15" t="str">
        <f>Raw_Data!C88</f>
        <v>New York Rates</v>
      </c>
      <c r="C88" s="11" t="str">
        <f>IFERROR(INDEX(Thresholds!$A$2:$A$5,MATCH(TRIM(Raw_Data!D88),Thresholds!$A$2:$A$5,0)),"UNMAPPED")</f>
        <v>Government Bond</v>
      </c>
      <c r="D88" s="16">
        <f>Raw_Data!G88</f>
        <v>14637</v>
      </c>
      <c r="E88" s="17">
        <f>Raw_Data!H88</f>
        <v>96.680999999999997</v>
      </c>
      <c r="F88" s="14">
        <f>IF(Raw_Data!I88="","",Raw_Data!I88)</f>
        <v>96.68</v>
      </c>
      <c r="G88" s="18">
        <f t="shared" si="3"/>
        <v>1.0343400910121679E-5</v>
      </c>
      <c r="H88" s="19">
        <f>IFERROR(INDEX(Thresholds!$B$2:$B$5,MATCH(C88,Thresholds!$A$2:$A$5,0)),"")</f>
        <v>2.5000000000000001E-3</v>
      </c>
      <c r="I88" s="20">
        <f t="shared" si="4"/>
        <v>14.636999999861885</v>
      </c>
      <c r="J88" s="11" t="str">
        <f t="shared" si="5"/>
        <v>OK</v>
      </c>
      <c r="K88" s="11" t="str">
        <f>IF(COUNTIF(Raw_Data!$A$2:A88,Raw_Data!A88)&gt;1,"DUP","UNIQUE")</f>
        <v>UNIQUE</v>
      </c>
      <c r="L88" s="11" t="str">
        <f>IF(Raw_Data!B88&lt;&gt;Thresholds!$E$1,"STALE","CURRENT")</f>
        <v>CURRENT</v>
      </c>
    </row>
    <row r="89" spans="1:12" x14ac:dyDescent="0.3">
      <c r="A89" s="15" t="str">
        <f>Raw_Data!A89</f>
        <v>P0087</v>
      </c>
      <c r="B89" s="15" t="str">
        <f>Raw_Data!C89</f>
        <v>Singapore FX</v>
      </c>
      <c r="C89" s="11" t="str">
        <f>IFERROR(INDEX(Thresholds!$A$2:$A$5,MATCH(TRIM(Raw_Data!D89),Thresholds!$A$2:$A$5,0)),"UNMAPPED")</f>
        <v>FX Forward</v>
      </c>
      <c r="D89" s="16">
        <f>Raw_Data!G89</f>
        <v>485800</v>
      </c>
      <c r="E89" s="17">
        <f>Raw_Data!H89</f>
        <v>1.50342</v>
      </c>
      <c r="F89" s="14">
        <f>IF(Raw_Data!I89="","",Raw_Data!I89)</f>
        <v>1.5044200000000001</v>
      </c>
      <c r="G89" s="18">
        <f t="shared" si="3"/>
        <v>-6.647079937784075E-4</v>
      </c>
      <c r="H89" s="19">
        <f>IFERROR(INDEX(Thresholds!$B$2:$B$5,MATCH(C89,Thresholds!$A$2:$A$5,0)),"")</f>
        <v>3.0000000000000001E-3</v>
      </c>
      <c r="I89" s="20">
        <f t="shared" si="4"/>
        <v>-485.80000000005435</v>
      </c>
      <c r="J89" s="11" t="str">
        <f t="shared" si="5"/>
        <v>OK</v>
      </c>
      <c r="K89" s="11" t="str">
        <f>IF(COUNTIF(Raw_Data!$A$2:A89,Raw_Data!A89)&gt;1,"DUP","UNIQUE")</f>
        <v>UNIQUE</v>
      </c>
      <c r="L89" s="11" t="str">
        <f>IF(Raw_Data!B89&lt;&gt;Thresholds!$E$1,"STALE","CURRENT")</f>
        <v>CURRENT</v>
      </c>
    </row>
    <row r="90" spans="1:12" x14ac:dyDescent="0.3">
      <c r="A90" s="15" t="str">
        <f>Raw_Data!A90</f>
        <v>P0088</v>
      </c>
      <c r="B90" s="15" t="str">
        <f>Raw_Data!C90</f>
        <v>London Credit</v>
      </c>
      <c r="C90" s="11" t="str">
        <f>IFERROR(INDEX(Thresholds!$A$2:$A$5,MATCH(TRIM(Raw_Data!D90),Thresholds!$A$2:$A$5,0)),"UNMAPPED")</f>
        <v>Corporate Bond</v>
      </c>
      <c r="D90" s="16">
        <f>Raw_Data!G90</f>
        <v>15239</v>
      </c>
      <c r="E90" s="17">
        <f>Raw_Data!H90</f>
        <v>101.289</v>
      </c>
      <c r="F90" s="14">
        <f>IF(Raw_Data!I90="","",Raw_Data!I90)</f>
        <v>101.21899999999999</v>
      </c>
      <c r="G90" s="18">
        <f t="shared" si="3"/>
        <v>6.915697645699661E-4</v>
      </c>
      <c r="H90" s="19">
        <f>IFERROR(INDEX(Thresholds!$B$2:$B$5,MATCH(C90,Thresholds!$A$2:$A$5,0)),"")</f>
        <v>5.0000000000000001E-3</v>
      </c>
      <c r="I90" s="20">
        <f t="shared" si="4"/>
        <v>1066.7300000001126</v>
      </c>
      <c r="J90" s="11" t="str">
        <f t="shared" si="5"/>
        <v>OK</v>
      </c>
      <c r="K90" s="11" t="str">
        <f>IF(COUNTIF(Raw_Data!$A$2:A90,Raw_Data!A90)&gt;1,"DUP","UNIQUE")</f>
        <v>UNIQUE</v>
      </c>
      <c r="L90" s="11" t="str">
        <f>IF(Raw_Data!B90&lt;&gt;Thresholds!$E$1,"STALE","CURRENT")</f>
        <v>CURRENT</v>
      </c>
    </row>
    <row r="91" spans="1:12" x14ac:dyDescent="0.3">
      <c r="A91" s="15" t="str">
        <f>Raw_Data!A91</f>
        <v>P0089</v>
      </c>
      <c r="B91" s="15" t="str">
        <f>Raw_Data!C91</f>
        <v>Zurich Equities</v>
      </c>
      <c r="C91" s="11" t="str">
        <f>IFERROR(INDEX(Thresholds!$A$2:$A$5,MATCH(TRIM(Raw_Data!D91),Thresholds!$A$2:$A$5,0)),"UNMAPPED")</f>
        <v>Equity</v>
      </c>
      <c r="D91" s="16">
        <f>Raw_Data!G91</f>
        <v>15347</v>
      </c>
      <c r="E91" s="17">
        <f>Raw_Data!H91</f>
        <v>185.34</v>
      </c>
      <c r="F91" s="14">
        <f>IF(Raw_Data!I91="","",Raw_Data!I91)</f>
        <v>184.94</v>
      </c>
      <c r="G91" s="18">
        <f t="shared" si="3"/>
        <v>2.162863631448068E-3</v>
      </c>
      <c r="H91" s="19">
        <f>IFERROR(INDEX(Thresholds!$B$2:$B$5,MATCH(C91,Thresholds!$A$2:$A$5,0)),"")</f>
        <v>0.01</v>
      </c>
      <c r="I91" s="20">
        <f t="shared" si="4"/>
        <v>6138.8000000000875</v>
      </c>
      <c r="J91" s="11" t="str">
        <f t="shared" si="5"/>
        <v>OK</v>
      </c>
      <c r="K91" s="11" t="str">
        <f>IF(COUNTIF(Raw_Data!$A$2:A91,Raw_Data!A91)&gt;1,"DUP","UNIQUE")</f>
        <v>UNIQUE</v>
      </c>
      <c r="L91" s="11" t="str">
        <f>IF(Raw_Data!B91&lt;&gt;Thresholds!$E$1,"STALE","CURRENT")</f>
        <v>CURRENT</v>
      </c>
    </row>
    <row r="92" spans="1:12" x14ac:dyDescent="0.3">
      <c r="A92" s="15" t="str">
        <f>Raw_Data!A92</f>
        <v>P0090</v>
      </c>
      <c r="B92" s="15" t="str">
        <f>Raw_Data!C92</f>
        <v>Zurich Equities</v>
      </c>
      <c r="C92" s="11" t="str">
        <f>IFERROR(INDEX(Thresholds!$A$2:$A$5,MATCH(TRIM(Raw_Data!D92),Thresholds!$A$2:$A$5,0)),"UNMAPPED")</f>
        <v>Equity</v>
      </c>
      <c r="D92" s="16">
        <f>Raw_Data!G92</f>
        <v>38655</v>
      </c>
      <c r="E92" s="17">
        <f>Raw_Data!H92</f>
        <v>114.66</v>
      </c>
      <c r="F92" s="14">
        <f>IF(Raw_Data!I92="","",Raw_Data!I92)</f>
        <v>114.69</v>
      </c>
      <c r="G92" s="18">
        <f t="shared" si="3"/>
        <v>-2.6157467957102742E-4</v>
      </c>
      <c r="H92" s="19">
        <f>IFERROR(INDEX(Thresholds!$B$2:$B$5,MATCH(C92,Thresholds!$A$2:$A$5,0)),"")</f>
        <v>0.01</v>
      </c>
      <c r="I92" s="20">
        <f t="shared" si="4"/>
        <v>-1159.650000000044</v>
      </c>
      <c r="J92" s="11" t="str">
        <f t="shared" si="5"/>
        <v>OK</v>
      </c>
      <c r="K92" s="11" t="str">
        <f>IF(COUNTIF(Raw_Data!$A$2:A92,Raw_Data!A92)&gt;1,"DUP","UNIQUE")</f>
        <v>UNIQUE</v>
      </c>
      <c r="L92" s="11" t="str">
        <f>IF(Raw_Data!B92&lt;&gt;Thresholds!$E$1,"STALE","CURRENT")</f>
        <v>CURRENT</v>
      </c>
    </row>
    <row r="93" spans="1:12" x14ac:dyDescent="0.3">
      <c r="A93" s="15" t="str">
        <f>Raw_Data!A93</f>
        <v>P0091</v>
      </c>
      <c r="B93" s="15" t="str">
        <f>Raw_Data!C93</f>
        <v>London Credit</v>
      </c>
      <c r="C93" s="11" t="str">
        <f>IFERROR(INDEX(Thresholds!$A$2:$A$5,MATCH(TRIM(Raw_Data!D93),Thresholds!$A$2:$A$5,0)),"UNMAPPED")</f>
        <v>Corporate Bond</v>
      </c>
      <c r="D93" s="16">
        <f>Raw_Data!G93</f>
        <v>15923</v>
      </c>
      <c r="E93" s="17">
        <f>Raw_Data!H93</f>
        <v>107.74299999999999</v>
      </c>
      <c r="F93" s="14">
        <f>IF(Raw_Data!I93="","",Raw_Data!I93)</f>
        <v>106.166</v>
      </c>
      <c r="G93" s="18">
        <f t="shared" si="3"/>
        <v>1.4854096415048116E-2</v>
      </c>
      <c r="H93" s="19">
        <f>IFERROR(INDEX(Thresholds!$B$2:$B$5,MATCH(C93,Thresholds!$A$2:$A$5,0)),"")</f>
        <v>5.0000000000000001E-3</v>
      </c>
      <c r="I93" s="20">
        <f t="shared" si="4"/>
        <v>25110.570999999971</v>
      </c>
      <c r="J93" s="11" t="str">
        <f t="shared" si="5"/>
        <v>BREACH</v>
      </c>
      <c r="K93" s="11" t="str">
        <f>IF(COUNTIF(Raw_Data!$A$2:A93,Raw_Data!A93)&gt;1,"DUP","UNIQUE")</f>
        <v>UNIQUE</v>
      </c>
      <c r="L93" s="11" t="str">
        <f>IF(Raw_Data!B93&lt;&gt;Thresholds!$E$1,"STALE","CURRENT")</f>
        <v>CURRENT</v>
      </c>
    </row>
    <row r="94" spans="1:12" x14ac:dyDescent="0.3">
      <c r="A94" s="15" t="str">
        <f>Raw_Data!A94</f>
        <v>P0092</v>
      </c>
      <c r="B94" s="15" t="str">
        <f>Raw_Data!C94</f>
        <v>Singapore Equities</v>
      </c>
      <c r="C94" s="11" t="str">
        <f>IFERROR(INDEX(Thresholds!$A$2:$A$5,MATCH(TRIM(Raw_Data!D94),Thresholds!$A$2:$A$5,0)),"UNMAPPED")</f>
        <v>Equity</v>
      </c>
      <c r="D94" s="16">
        <f>Raw_Data!G94</f>
        <v>7073</v>
      </c>
      <c r="E94" s="17">
        <f>Raw_Data!H94</f>
        <v>292.13</v>
      </c>
      <c r="F94" s="14">
        <f>IF(Raw_Data!I94="","",Raw_Data!I94)</f>
        <v>292</v>
      </c>
      <c r="G94" s="18">
        <f t="shared" si="3"/>
        <v>4.4520547945203922E-4</v>
      </c>
      <c r="H94" s="19">
        <f>IFERROR(INDEX(Thresholds!$B$2:$B$5,MATCH(C94,Thresholds!$A$2:$A$5,0)),"")</f>
        <v>0.01</v>
      </c>
      <c r="I94" s="20">
        <f t="shared" si="4"/>
        <v>919.48999999996784</v>
      </c>
      <c r="J94" s="11" t="str">
        <f t="shared" si="5"/>
        <v>OK</v>
      </c>
      <c r="K94" s="11" t="str">
        <f>IF(COUNTIF(Raw_Data!$A$2:A94,Raw_Data!A94)&gt;1,"DUP","UNIQUE")</f>
        <v>UNIQUE</v>
      </c>
      <c r="L94" s="11" t="str">
        <f>IF(Raw_Data!B94&lt;&gt;Thresholds!$E$1,"STALE","CURRENT")</f>
        <v>CURRENT</v>
      </c>
    </row>
    <row r="95" spans="1:12" x14ac:dyDescent="0.3">
      <c r="A95" s="15" t="str">
        <f>Raw_Data!A95</f>
        <v>P0093</v>
      </c>
      <c r="B95" s="15" t="str">
        <f>Raw_Data!C95</f>
        <v>Zurich Equities</v>
      </c>
      <c r="C95" s="11" t="str">
        <f>IFERROR(INDEX(Thresholds!$A$2:$A$5,MATCH(TRIM(Raw_Data!D95),Thresholds!$A$2:$A$5,0)),"UNMAPPED")</f>
        <v>Equity</v>
      </c>
      <c r="D95" s="16">
        <f>Raw_Data!G95</f>
        <v>37523</v>
      </c>
      <c r="E95" s="17">
        <f>Raw_Data!H95</f>
        <v>222.54</v>
      </c>
      <c r="F95" s="14">
        <f>IF(Raw_Data!I95="","",Raw_Data!I95)</f>
        <v>220.9</v>
      </c>
      <c r="G95" s="18">
        <f t="shared" si="3"/>
        <v>7.4241738343141074E-3</v>
      </c>
      <c r="H95" s="19">
        <f>IFERROR(INDEX(Thresholds!$B$2:$B$5,MATCH(C95,Thresholds!$A$2:$A$5,0)),"")</f>
        <v>0.01</v>
      </c>
      <c r="I95" s="20">
        <f t="shared" si="4"/>
        <v>61537.719999999485</v>
      </c>
      <c r="J95" s="11" t="str">
        <f t="shared" si="5"/>
        <v>OK</v>
      </c>
      <c r="K95" s="11" t="str">
        <f>IF(COUNTIF(Raw_Data!$A$2:A95,Raw_Data!A95)&gt;1,"DUP","UNIQUE")</f>
        <v>UNIQUE</v>
      </c>
      <c r="L95" s="11" t="str">
        <f>IF(Raw_Data!B95&lt;&gt;Thresholds!$E$1,"STALE","CURRENT")</f>
        <v>CURRENT</v>
      </c>
    </row>
    <row r="96" spans="1:12" x14ac:dyDescent="0.3">
      <c r="A96" s="15" t="str">
        <f>Raw_Data!A96</f>
        <v>P0094</v>
      </c>
      <c r="B96" s="15" t="str">
        <f>Raw_Data!C96</f>
        <v>Zurich Equities</v>
      </c>
      <c r="C96" s="11" t="str">
        <f>IFERROR(INDEX(Thresholds!$A$2:$A$5,MATCH(TRIM(Raw_Data!D96),Thresholds!$A$2:$A$5,0)),"UNMAPPED")</f>
        <v>Equity</v>
      </c>
      <c r="D96" s="16">
        <f>Raw_Data!G96</f>
        <v>35841</v>
      </c>
      <c r="E96" s="17">
        <f>Raw_Data!H96</f>
        <v>209.48</v>
      </c>
      <c r="F96" s="14">
        <f>IF(Raw_Data!I96="","",Raw_Data!I96)</f>
        <v>208.75</v>
      </c>
      <c r="G96" s="18">
        <f t="shared" si="3"/>
        <v>3.4970059880239032E-3</v>
      </c>
      <c r="H96" s="19">
        <f>IFERROR(INDEX(Thresholds!$B$2:$B$5,MATCH(C96,Thresholds!$A$2:$A$5,0)),"")</f>
        <v>0.01</v>
      </c>
      <c r="I96" s="20">
        <f t="shared" si="4"/>
        <v>26163.929999999633</v>
      </c>
      <c r="J96" s="11" t="str">
        <f t="shared" si="5"/>
        <v>OK</v>
      </c>
      <c r="K96" s="11" t="str">
        <f>IF(COUNTIF(Raw_Data!$A$2:A96,Raw_Data!A96)&gt;1,"DUP","UNIQUE")</f>
        <v>UNIQUE</v>
      </c>
      <c r="L96" s="11" t="str">
        <f>IF(Raw_Data!B96&lt;&gt;Thresholds!$E$1,"STALE","CURRENT")</f>
        <v>CURRENT</v>
      </c>
    </row>
    <row r="97" spans="1:12" x14ac:dyDescent="0.3">
      <c r="A97" s="15" t="str">
        <f>Raw_Data!A97</f>
        <v>P0095</v>
      </c>
      <c r="B97" s="15" t="str">
        <f>Raw_Data!C97</f>
        <v>Zurich FX</v>
      </c>
      <c r="C97" s="11" t="str">
        <f>IFERROR(INDEX(Thresholds!$A$2:$A$5,MATCH(TRIM(Raw_Data!D97),Thresholds!$A$2:$A$5,0)),"UNMAPPED")</f>
        <v>FX Forward</v>
      </c>
      <c r="D97" s="16">
        <f>Raw_Data!G97</f>
        <v>3287749</v>
      </c>
      <c r="E97" s="17">
        <f>Raw_Data!H97</f>
        <v>1.45177</v>
      </c>
      <c r="F97" s="14">
        <f>IF(Raw_Data!I97="","",Raw_Data!I97)</f>
        <v>1.44919</v>
      </c>
      <c r="G97" s="18">
        <f t="shared" si="3"/>
        <v>1.78030485995627E-3</v>
      </c>
      <c r="H97" s="19">
        <f>IFERROR(INDEX(Thresholds!$B$2:$B$5,MATCH(C97,Thresholds!$A$2:$A$5,0)),"")</f>
        <v>3.0000000000000001E-3</v>
      </c>
      <c r="I97" s="20">
        <f t="shared" si="4"/>
        <v>8482.3924200000874</v>
      </c>
      <c r="J97" s="11" t="str">
        <f t="shared" si="5"/>
        <v>OK</v>
      </c>
      <c r="K97" s="11" t="str">
        <f>IF(COUNTIF(Raw_Data!$A$2:A97,Raw_Data!A97)&gt;1,"DUP","UNIQUE")</f>
        <v>UNIQUE</v>
      </c>
      <c r="L97" s="11" t="str">
        <f>IF(Raw_Data!B97&lt;&gt;Thresholds!$E$1,"STALE","CURRENT")</f>
        <v>CURRENT</v>
      </c>
    </row>
    <row r="98" spans="1:12" x14ac:dyDescent="0.3">
      <c r="A98" s="15" t="str">
        <f>Raw_Data!A98</f>
        <v>P0096</v>
      </c>
      <c r="B98" s="15" t="str">
        <f>Raw_Data!C98</f>
        <v>New York Rates</v>
      </c>
      <c r="C98" s="11" t="str">
        <f>IFERROR(INDEX(Thresholds!$A$2:$A$5,MATCH(TRIM(Raw_Data!D98),Thresholds!$A$2:$A$5,0)),"UNMAPPED")</f>
        <v>Government Bond</v>
      </c>
      <c r="D98" s="16">
        <f>Raw_Data!G98</f>
        <v>17112</v>
      </c>
      <c r="E98" s="17">
        <f>Raw_Data!H98</f>
        <v>97.451999999999998</v>
      </c>
      <c r="F98" s="14">
        <f>IF(Raw_Data!I98="","",Raw_Data!I98)</f>
        <v>97.570999999999998</v>
      </c>
      <c r="G98" s="18">
        <f t="shared" si="3"/>
        <v>-1.2196246835637615E-3</v>
      </c>
      <c r="H98" s="19">
        <f>IFERROR(INDEX(Thresholds!$B$2:$B$5,MATCH(C98,Thresholds!$A$2:$A$5,0)),"")</f>
        <v>2.5000000000000001E-3</v>
      </c>
      <c r="I98" s="20">
        <f t="shared" si="4"/>
        <v>-2036.3279999999961</v>
      </c>
      <c r="J98" s="11" t="str">
        <f t="shared" si="5"/>
        <v>OK</v>
      </c>
      <c r="K98" s="11" t="str">
        <f>IF(COUNTIF(Raw_Data!$A$2:A98,Raw_Data!A98)&gt;1,"DUP","UNIQUE")</f>
        <v>UNIQUE</v>
      </c>
      <c r="L98" s="11" t="str">
        <f>IF(Raw_Data!B98&lt;&gt;Thresholds!$E$1,"STALE","CURRENT")</f>
        <v>CURRENT</v>
      </c>
    </row>
    <row r="99" spans="1:12" x14ac:dyDescent="0.3">
      <c r="A99" s="15" t="str">
        <f>Raw_Data!A99</f>
        <v>P0097</v>
      </c>
      <c r="B99" s="15" t="str">
        <f>Raw_Data!C99</f>
        <v>London Credit</v>
      </c>
      <c r="C99" s="11" t="str">
        <f>IFERROR(INDEX(Thresholds!$A$2:$A$5,MATCH(TRIM(Raw_Data!D99),Thresholds!$A$2:$A$5,0)),"UNMAPPED")</f>
        <v>Corporate Bond</v>
      </c>
      <c r="D99" s="16">
        <f>Raw_Data!G99</f>
        <v>5176</v>
      </c>
      <c r="E99" s="17">
        <f>Raw_Data!H99</f>
        <v>105.354</v>
      </c>
      <c r="F99" s="14">
        <f>IF(Raw_Data!I99="","",Raw_Data!I99)</f>
        <v>105.48399999999999</v>
      </c>
      <c r="G99" s="18">
        <f t="shared" si="3"/>
        <v>-1.2324143946000859E-3</v>
      </c>
      <c r="H99" s="19">
        <f>IFERROR(INDEX(Thresholds!$B$2:$B$5,MATCH(C99,Thresholds!$A$2:$A$5,0)),"")</f>
        <v>5.0000000000000001E-3</v>
      </c>
      <c r="I99" s="20">
        <f t="shared" si="4"/>
        <v>-672.87999999997646</v>
      </c>
      <c r="J99" s="11" t="str">
        <f t="shared" si="5"/>
        <v>OK</v>
      </c>
      <c r="K99" s="11" t="str">
        <f>IF(COUNTIF(Raw_Data!$A$2:A99,Raw_Data!A99)&gt;1,"DUP","UNIQUE")</f>
        <v>UNIQUE</v>
      </c>
      <c r="L99" s="11" t="str">
        <f>IF(Raw_Data!B99&lt;&gt;Thresholds!$E$1,"STALE","CURRENT")</f>
        <v>CURRENT</v>
      </c>
    </row>
    <row r="100" spans="1:12" x14ac:dyDescent="0.3">
      <c r="A100" s="15" t="str">
        <f>Raw_Data!A100</f>
        <v>P0098</v>
      </c>
      <c r="B100" s="15" t="str">
        <f>Raw_Data!C100</f>
        <v>Singapore Equities</v>
      </c>
      <c r="C100" s="11" t="str">
        <f>IFERROR(INDEX(Thresholds!$A$2:$A$5,MATCH(TRIM(Raw_Data!D100),Thresholds!$A$2:$A$5,0)),"UNMAPPED")</f>
        <v>Equity</v>
      </c>
      <c r="D100" s="16">
        <f>Raw_Data!G100</f>
        <v>41713</v>
      </c>
      <c r="E100" s="17">
        <f>Raw_Data!H100</f>
        <v>216.51</v>
      </c>
      <c r="F100" s="14">
        <f>IF(Raw_Data!I100="","",Raw_Data!I100)</f>
        <v>216.68</v>
      </c>
      <c r="G100" s="18">
        <f t="shared" si="3"/>
        <v>-7.8456710356293114E-4</v>
      </c>
      <c r="H100" s="19">
        <f>IFERROR(INDEX(Thresholds!$B$2:$B$5,MATCH(C100,Thresholds!$A$2:$A$5,0)),"")</f>
        <v>0.01</v>
      </c>
      <c r="I100" s="20">
        <f t="shared" si="4"/>
        <v>-7091.210000000664</v>
      </c>
      <c r="J100" s="11" t="str">
        <f t="shared" si="5"/>
        <v>OK</v>
      </c>
      <c r="K100" s="11" t="str">
        <f>IF(COUNTIF(Raw_Data!$A$2:A100,Raw_Data!A100)&gt;1,"DUP","UNIQUE")</f>
        <v>UNIQUE</v>
      </c>
      <c r="L100" s="11" t="str">
        <f>IF(Raw_Data!B100&lt;&gt;Thresholds!$E$1,"STALE","CURRENT")</f>
        <v>CURRENT</v>
      </c>
    </row>
    <row r="101" spans="1:12" x14ac:dyDescent="0.3">
      <c r="A101" s="15" t="str">
        <f>Raw_Data!A101</f>
        <v>P0099</v>
      </c>
      <c r="B101" s="15" t="str">
        <f>Raw_Data!C101</f>
        <v>Zurich Equities</v>
      </c>
      <c r="C101" s="11" t="str">
        <f>IFERROR(INDEX(Thresholds!$A$2:$A$5,MATCH(TRIM(Raw_Data!D101),Thresholds!$A$2:$A$5,0)),"UNMAPPED")</f>
        <v>Equity</v>
      </c>
      <c r="D101" s="16">
        <f>Raw_Data!G101</f>
        <v>28177</v>
      </c>
      <c r="E101" s="17">
        <f>Raw_Data!H101</f>
        <v>228.6</v>
      </c>
      <c r="F101" s="14">
        <f>IF(Raw_Data!I101="","",Raw_Data!I101)</f>
        <v>230.45</v>
      </c>
      <c r="G101" s="18">
        <f t="shared" si="3"/>
        <v>-8.0277717509220844E-3</v>
      </c>
      <c r="H101" s="19">
        <f>IFERROR(INDEX(Thresholds!$B$2:$B$5,MATCH(C101,Thresholds!$A$2:$A$5,0)),"")</f>
        <v>0.01</v>
      </c>
      <c r="I101" s="20">
        <f t="shared" si="4"/>
        <v>-52127.449999999837</v>
      </c>
      <c r="J101" s="11" t="str">
        <f t="shared" si="5"/>
        <v>OK</v>
      </c>
      <c r="K101" s="11" t="str">
        <f>IF(COUNTIF(Raw_Data!$A$2:A101,Raw_Data!A101)&gt;1,"DUP","UNIQUE")</f>
        <v>UNIQUE</v>
      </c>
      <c r="L101" s="11" t="str">
        <f>IF(Raw_Data!B101&lt;&gt;Thresholds!$E$1,"STALE","CURRENT")</f>
        <v>CURRENT</v>
      </c>
    </row>
    <row r="102" spans="1:12" x14ac:dyDescent="0.3">
      <c r="A102" s="15" t="str">
        <f>Raw_Data!A102</f>
        <v>P0100</v>
      </c>
      <c r="B102" s="15" t="str">
        <f>Raw_Data!C102</f>
        <v>Zurich Equities</v>
      </c>
      <c r="C102" s="11" t="str">
        <f>IFERROR(INDEX(Thresholds!$A$2:$A$5,MATCH(TRIM(Raw_Data!D102),Thresholds!$A$2:$A$5,0)),"UNMAPPED")</f>
        <v>Equity</v>
      </c>
      <c r="D102" s="16">
        <f>Raw_Data!G102</f>
        <v>34857</v>
      </c>
      <c r="E102" s="17">
        <f>Raw_Data!H102</f>
        <v>62.79</v>
      </c>
      <c r="F102" s="14">
        <f>IF(Raw_Data!I102="","",Raw_Data!I102)</f>
        <v>62.76</v>
      </c>
      <c r="G102" s="18">
        <f t="shared" si="3"/>
        <v>4.7801147227535275E-4</v>
      </c>
      <c r="H102" s="19">
        <f>IFERROR(INDEX(Thresholds!$B$2:$B$5,MATCH(C102,Thresholds!$A$2:$A$5,0)),"")</f>
        <v>0.01</v>
      </c>
      <c r="I102" s="20">
        <f t="shared" si="4"/>
        <v>1045.7100000000396</v>
      </c>
      <c r="J102" s="11" t="str">
        <f t="shared" si="5"/>
        <v>OK</v>
      </c>
      <c r="K102" s="11" t="str">
        <f>IF(COUNTIF(Raw_Data!$A$2:A102,Raw_Data!A102)&gt;1,"DUP","UNIQUE")</f>
        <v>UNIQUE</v>
      </c>
      <c r="L102" s="11" t="str">
        <f>IF(Raw_Data!B102&lt;&gt;Thresholds!$E$1,"STALE","CURRENT")</f>
        <v>CURRENT</v>
      </c>
    </row>
    <row r="103" spans="1:12" x14ac:dyDescent="0.3">
      <c r="A103" s="15" t="str">
        <f>Raw_Data!A103</f>
        <v>P0101</v>
      </c>
      <c r="B103" s="15" t="str">
        <f>Raw_Data!C103</f>
        <v>Singapore FX</v>
      </c>
      <c r="C103" s="11" t="str">
        <f>IFERROR(INDEX(Thresholds!$A$2:$A$5,MATCH(TRIM(Raw_Data!D103),Thresholds!$A$2:$A$5,0)),"UNMAPPED")</f>
        <v>FX Forward</v>
      </c>
      <c r="D103" s="16">
        <f>Raw_Data!G103</f>
        <v>2323172</v>
      </c>
      <c r="E103" s="17">
        <f>Raw_Data!H103</f>
        <v>1.4709300000000001</v>
      </c>
      <c r="F103" s="14">
        <f>IF(Raw_Data!I103="","",Raw_Data!I103)</f>
        <v>1.4700800000000001</v>
      </c>
      <c r="G103" s="18">
        <f t="shared" si="3"/>
        <v>5.7819982585982893E-4</v>
      </c>
      <c r="H103" s="19">
        <f>IFERROR(INDEX(Thresholds!$B$2:$B$5,MATCH(C103,Thresholds!$A$2:$A$5,0)),"")</f>
        <v>3.0000000000000001E-3</v>
      </c>
      <c r="I103" s="20">
        <f t="shared" si="4"/>
        <v>1974.6962000000403</v>
      </c>
      <c r="J103" s="11" t="str">
        <f t="shared" si="5"/>
        <v>OK</v>
      </c>
      <c r="K103" s="11" t="str">
        <f>IF(COUNTIF(Raw_Data!$A$2:A103,Raw_Data!A103)&gt;1,"DUP","UNIQUE")</f>
        <v>UNIQUE</v>
      </c>
      <c r="L103" s="11" t="str">
        <f>IF(Raw_Data!B103&lt;&gt;Thresholds!$E$1,"STALE","CURRENT")</f>
        <v>CURRENT</v>
      </c>
    </row>
    <row r="104" spans="1:12" x14ac:dyDescent="0.3">
      <c r="A104" s="15" t="str">
        <f>Raw_Data!A104</f>
        <v>P0102</v>
      </c>
      <c r="B104" s="15" t="str">
        <f>Raw_Data!C104</f>
        <v>Zurich FX</v>
      </c>
      <c r="C104" s="11" t="str">
        <f>IFERROR(INDEX(Thresholds!$A$2:$A$5,MATCH(TRIM(Raw_Data!D104),Thresholds!$A$2:$A$5,0)),"UNMAPPED")</f>
        <v>FX Forward</v>
      </c>
      <c r="D104" s="16">
        <f>Raw_Data!G104</f>
        <v>4067612</v>
      </c>
      <c r="E104" s="17">
        <f>Raw_Data!H104</f>
        <v>0.91818</v>
      </c>
      <c r="F104" s="14">
        <f>IF(Raw_Data!I104="","",Raw_Data!I104)</f>
        <v>0.91683000000000003</v>
      </c>
      <c r="G104" s="18">
        <f t="shared" si="3"/>
        <v>1.4724649062530265E-3</v>
      </c>
      <c r="H104" s="19">
        <f>IFERROR(INDEX(Thresholds!$B$2:$B$5,MATCH(C104,Thresholds!$A$2:$A$5,0)),"")</f>
        <v>3.0000000000000001E-3</v>
      </c>
      <c r="I104" s="20">
        <f t="shared" si="4"/>
        <v>5491.2761999998465</v>
      </c>
      <c r="J104" s="11" t="str">
        <f t="shared" si="5"/>
        <v>OK</v>
      </c>
      <c r="K104" s="11" t="str">
        <f>IF(COUNTIF(Raw_Data!$A$2:A104,Raw_Data!A104)&gt;1,"DUP","UNIQUE")</f>
        <v>UNIQUE</v>
      </c>
      <c r="L104" s="11" t="str">
        <f>IF(Raw_Data!B104&lt;&gt;Thresholds!$E$1,"STALE","CURRENT")</f>
        <v>CURRENT</v>
      </c>
    </row>
    <row r="105" spans="1:12" x14ac:dyDescent="0.3">
      <c r="A105" s="15" t="str">
        <f>Raw_Data!A105</f>
        <v>P0103</v>
      </c>
      <c r="B105" s="15" t="str">
        <f>Raw_Data!C105</f>
        <v>New York Rates</v>
      </c>
      <c r="C105" s="11" t="str">
        <f>IFERROR(INDEX(Thresholds!$A$2:$A$5,MATCH(TRIM(Raw_Data!D105),Thresholds!$A$2:$A$5,0)),"UNMAPPED")</f>
        <v>Government Bond</v>
      </c>
      <c r="D105" s="16">
        <f>Raw_Data!G105</f>
        <v>16064</v>
      </c>
      <c r="E105" s="17">
        <f>Raw_Data!H105</f>
        <v>96.843999999999994</v>
      </c>
      <c r="F105" s="14">
        <f>IF(Raw_Data!I105="","",Raw_Data!I105)</f>
        <v>96.710999999999999</v>
      </c>
      <c r="G105" s="18">
        <f t="shared" si="3"/>
        <v>1.3752313594109829E-3</v>
      </c>
      <c r="H105" s="19">
        <f>IFERROR(INDEX(Thresholds!$B$2:$B$5,MATCH(C105,Thresholds!$A$2:$A$5,0)),"")</f>
        <v>2.5000000000000001E-3</v>
      </c>
      <c r="I105" s="20">
        <f t="shared" si="4"/>
        <v>2136.5119999999288</v>
      </c>
      <c r="J105" s="11" t="str">
        <f t="shared" si="5"/>
        <v>OK</v>
      </c>
      <c r="K105" s="11" t="str">
        <f>IF(COUNTIF(Raw_Data!$A$2:A105,Raw_Data!A105)&gt;1,"DUP","UNIQUE")</f>
        <v>UNIQUE</v>
      </c>
      <c r="L105" s="11" t="str">
        <f>IF(Raw_Data!B105&lt;&gt;Thresholds!$E$1,"STALE","CURRENT")</f>
        <v>CURRENT</v>
      </c>
    </row>
    <row r="106" spans="1:12" x14ac:dyDescent="0.3">
      <c r="A106" s="15" t="str">
        <f>Raw_Data!A106</f>
        <v>P0104</v>
      </c>
      <c r="B106" s="15" t="str">
        <f>Raw_Data!C106</f>
        <v>New York Rates</v>
      </c>
      <c r="C106" s="11" t="str">
        <f>IFERROR(INDEX(Thresholds!$A$2:$A$5,MATCH(TRIM(Raw_Data!D106),Thresholds!$A$2:$A$5,0)),"UNMAPPED")</f>
        <v>Government Bond</v>
      </c>
      <c r="D106" s="16">
        <f>Raw_Data!G106</f>
        <v>19035</v>
      </c>
      <c r="E106" s="17">
        <f>Raw_Data!H106</f>
        <v>100.428</v>
      </c>
      <c r="F106" s="14">
        <f>IF(Raw_Data!I106="","",Raw_Data!I106)</f>
        <v>100.617</v>
      </c>
      <c r="G106" s="18">
        <f t="shared" si="3"/>
        <v>-1.878410209010477E-3</v>
      </c>
      <c r="H106" s="19">
        <f>IFERROR(INDEX(Thresholds!$B$2:$B$5,MATCH(C106,Thresholds!$A$2:$A$5,0)),"")</f>
        <v>2.5000000000000001E-3</v>
      </c>
      <c r="I106" s="20">
        <f t="shared" si="4"/>
        <v>-3597.6150000001362</v>
      </c>
      <c r="J106" s="11" t="str">
        <f t="shared" si="5"/>
        <v>OK</v>
      </c>
      <c r="K106" s="11" t="str">
        <f>IF(COUNTIF(Raw_Data!$A$2:A106,Raw_Data!A106)&gt;1,"DUP","UNIQUE")</f>
        <v>UNIQUE</v>
      </c>
      <c r="L106" s="11" t="str">
        <f>IF(Raw_Data!B106&lt;&gt;Thresholds!$E$1,"STALE","CURRENT")</f>
        <v>CURRENT</v>
      </c>
    </row>
    <row r="107" spans="1:12" x14ac:dyDescent="0.3">
      <c r="A107" s="15" t="str">
        <f>Raw_Data!A107</f>
        <v>P0105</v>
      </c>
      <c r="B107" s="15" t="str">
        <f>Raw_Data!C107</f>
        <v>Zurich Equities</v>
      </c>
      <c r="C107" s="11" t="str">
        <f>IFERROR(INDEX(Thresholds!$A$2:$A$5,MATCH(TRIM(Raw_Data!D107),Thresholds!$A$2:$A$5,0)),"UNMAPPED")</f>
        <v>Equity</v>
      </c>
      <c r="D107" s="16">
        <f>Raw_Data!G107</f>
        <v>48365</v>
      </c>
      <c r="E107" s="17">
        <f>Raw_Data!H107</f>
        <v>27</v>
      </c>
      <c r="F107" s="14">
        <f>IF(Raw_Data!I107="","",Raw_Data!I107)</f>
        <v>27.02</v>
      </c>
      <c r="G107" s="18">
        <f t="shared" si="3"/>
        <v>-7.4019245003699387E-4</v>
      </c>
      <c r="H107" s="19">
        <f>IFERROR(INDEX(Thresholds!$B$2:$B$5,MATCH(C107,Thresholds!$A$2:$A$5,0)),"")</f>
        <v>0.01</v>
      </c>
      <c r="I107" s="20">
        <f t="shared" si="4"/>
        <v>-967.29999999997938</v>
      </c>
      <c r="J107" s="11" t="str">
        <f t="shared" si="5"/>
        <v>OK</v>
      </c>
      <c r="K107" s="11" t="str">
        <f>IF(COUNTIF(Raw_Data!$A$2:A107,Raw_Data!A107)&gt;1,"DUP","UNIQUE")</f>
        <v>UNIQUE</v>
      </c>
      <c r="L107" s="11" t="str">
        <f>IF(Raw_Data!B107&lt;&gt;Thresholds!$E$1,"STALE","CURRENT")</f>
        <v>CURRENT</v>
      </c>
    </row>
    <row r="108" spans="1:12" x14ac:dyDescent="0.3">
      <c r="A108" s="15" t="str">
        <f>Raw_Data!A108</f>
        <v>P0106</v>
      </c>
      <c r="B108" s="15" t="str">
        <f>Raw_Data!C108</f>
        <v>Zurich Equities</v>
      </c>
      <c r="C108" s="11" t="str">
        <f>IFERROR(INDEX(Thresholds!$A$2:$A$5,MATCH(TRIM(Raw_Data!D108),Thresholds!$A$2:$A$5,0)),"UNMAPPED")</f>
        <v>Equity</v>
      </c>
      <c r="D108" s="16">
        <f>Raw_Data!G108</f>
        <v>10287</v>
      </c>
      <c r="E108" s="17">
        <f>Raw_Data!H108</f>
        <v>94.05</v>
      </c>
      <c r="F108" s="14">
        <f>IF(Raw_Data!I108="","",Raw_Data!I108)</f>
        <v>96.64</v>
      </c>
      <c r="G108" s="18">
        <f t="shared" si="3"/>
        <v>-2.6800496688741758E-2</v>
      </c>
      <c r="H108" s="19">
        <f>IFERROR(INDEX(Thresholds!$B$2:$B$5,MATCH(C108,Thresholds!$A$2:$A$5,0)),"")</f>
        <v>0.01</v>
      </c>
      <c r="I108" s="20">
        <f t="shared" si="4"/>
        <v>-26643.330000000034</v>
      </c>
      <c r="J108" s="11" t="str">
        <f t="shared" si="5"/>
        <v>BREACH</v>
      </c>
      <c r="K108" s="11" t="str">
        <f>IF(COUNTIF(Raw_Data!$A$2:A108,Raw_Data!A108)&gt;1,"DUP","UNIQUE")</f>
        <v>UNIQUE</v>
      </c>
      <c r="L108" s="11" t="str">
        <f>IF(Raw_Data!B108&lt;&gt;Thresholds!$E$1,"STALE","CURRENT")</f>
        <v>CURRENT</v>
      </c>
    </row>
    <row r="109" spans="1:12" x14ac:dyDescent="0.3">
      <c r="A109" s="15" t="str">
        <f>Raw_Data!A109</f>
        <v>P0107</v>
      </c>
      <c r="B109" s="15" t="str">
        <f>Raw_Data!C109</f>
        <v>New York Credit</v>
      </c>
      <c r="C109" s="11" t="str">
        <f>IFERROR(INDEX(Thresholds!$A$2:$A$5,MATCH(TRIM(Raw_Data!D109),Thresholds!$A$2:$A$5,0)),"UNMAPPED")</f>
        <v>Corporate Bond</v>
      </c>
      <c r="D109" s="16">
        <f>Raw_Data!G109</f>
        <v>16554</v>
      </c>
      <c r="E109" s="17">
        <f>Raw_Data!H109</f>
        <v>105.289</v>
      </c>
      <c r="F109" s="14">
        <f>IF(Raw_Data!I109="","",Raw_Data!I109)</f>
        <v>105.828</v>
      </c>
      <c r="G109" s="18">
        <f t="shared" si="3"/>
        <v>-5.0931700495143199E-3</v>
      </c>
      <c r="H109" s="19">
        <f>IFERROR(INDEX(Thresholds!$B$2:$B$5,MATCH(C109,Thresholds!$A$2:$A$5,0)),"")</f>
        <v>5.0000000000000001E-3</v>
      </c>
      <c r="I109" s="20">
        <f t="shared" si="4"/>
        <v>-8922.6060000000252</v>
      </c>
      <c r="J109" s="11" t="str">
        <f t="shared" si="5"/>
        <v>BREACH</v>
      </c>
      <c r="K109" s="11" t="str">
        <f>IF(COUNTIF(Raw_Data!$A$2:A109,Raw_Data!A109)&gt;1,"DUP","UNIQUE")</f>
        <v>UNIQUE</v>
      </c>
      <c r="L109" s="11" t="str">
        <f>IF(Raw_Data!B109&lt;&gt;Thresholds!$E$1,"STALE","CURRENT")</f>
        <v>CURRENT</v>
      </c>
    </row>
    <row r="110" spans="1:12" x14ac:dyDescent="0.3">
      <c r="A110" s="15" t="str">
        <f>Raw_Data!A110</f>
        <v>P0108</v>
      </c>
      <c r="B110" s="15" t="str">
        <f>Raw_Data!C110</f>
        <v>Zurich Equities</v>
      </c>
      <c r="C110" s="11" t="str">
        <f>IFERROR(INDEX(Thresholds!$A$2:$A$5,MATCH(TRIM(Raw_Data!D110),Thresholds!$A$2:$A$5,0)),"UNMAPPED")</f>
        <v>Equity</v>
      </c>
      <c r="D110" s="16">
        <f>Raw_Data!G110</f>
        <v>4437</v>
      </c>
      <c r="E110" s="17">
        <f>Raw_Data!H110</f>
        <v>250.1</v>
      </c>
      <c r="F110" s="14">
        <f>IF(Raw_Data!I110="","",Raw_Data!I110)</f>
        <v>249.67</v>
      </c>
      <c r="G110" s="18">
        <f t="shared" si="3"/>
        <v>1.722273400889201E-3</v>
      </c>
      <c r="H110" s="19">
        <f>IFERROR(INDEX(Thresholds!$B$2:$B$5,MATCH(C110,Thresholds!$A$2:$A$5,0)),"")</f>
        <v>0.01</v>
      </c>
      <c r="I110" s="20">
        <f t="shared" si="4"/>
        <v>1907.9100000000303</v>
      </c>
      <c r="J110" s="11" t="str">
        <f t="shared" si="5"/>
        <v>OK</v>
      </c>
      <c r="K110" s="11" t="str">
        <f>IF(COUNTIF(Raw_Data!$A$2:A110,Raw_Data!A110)&gt;1,"DUP","UNIQUE")</f>
        <v>UNIQUE</v>
      </c>
      <c r="L110" s="11" t="str">
        <f>IF(Raw_Data!B110&lt;&gt;Thresholds!$E$1,"STALE","CURRENT")</f>
        <v>CURRENT</v>
      </c>
    </row>
    <row r="111" spans="1:12" x14ac:dyDescent="0.3">
      <c r="A111" s="15" t="str">
        <f>Raw_Data!A111</f>
        <v>P0109</v>
      </c>
      <c r="B111" s="15" t="str">
        <f>Raw_Data!C111</f>
        <v>London Rates</v>
      </c>
      <c r="C111" s="11" t="str">
        <f>IFERROR(INDEX(Thresholds!$A$2:$A$5,MATCH(TRIM(Raw_Data!D111),Thresholds!$A$2:$A$5,0)),"UNMAPPED")</f>
        <v>Government Bond</v>
      </c>
      <c r="D111" s="16">
        <f>Raw_Data!G111</f>
        <v>19443</v>
      </c>
      <c r="E111" s="17">
        <f>Raw_Data!H111</f>
        <v>97.194000000000003</v>
      </c>
      <c r="F111" s="14">
        <f>IF(Raw_Data!I111="","",Raw_Data!I111)</f>
        <v>96.72</v>
      </c>
      <c r="G111" s="18">
        <f t="shared" si="3"/>
        <v>4.9007444168734883E-3</v>
      </c>
      <c r="H111" s="19">
        <f>IFERROR(INDEX(Thresholds!$B$2:$B$5,MATCH(C111,Thresholds!$A$2:$A$5,0)),"")</f>
        <v>2.5000000000000001E-3</v>
      </c>
      <c r="I111" s="20">
        <f t="shared" si="4"/>
        <v>9215.9820000000727</v>
      </c>
      <c r="J111" s="11" t="str">
        <f t="shared" si="5"/>
        <v>BREACH</v>
      </c>
      <c r="K111" s="11" t="str">
        <f>IF(COUNTIF(Raw_Data!$A$2:A111,Raw_Data!A111)&gt;1,"DUP","UNIQUE")</f>
        <v>UNIQUE</v>
      </c>
      <c r="L111" s="11" t="str">
        <f>IF(Raw_Data!B111&lt;&gt;Thresholds!$E$1,"STALE","CURRENT")</f>
        <v>CURRENT</v>
      </c>
    </row>
    <row r="112" spans="1:12" x14ac:dyDescent="0.3">
      <c r="A112" s="15" t="str">
        <f>Raw_Data!A112</f>
        <v>P0110</v>
      </c>
      <c r="B112" s="15" t="str">
        <f>Raw_Data!C112</f>
        <v>New York Rates</v>
      </c>
      <c r="C112" s="11" t="str">
        <f>IFERROR(INDEX(Thresholds!$A$2:$A$5,MATCH(TRIM(Raw_Data!D112),Thresholds!$A$2:$A$5,0)),"UNMAPPED")</f>
        <v>Government Bond</v>
      </c>
      <c r="D112" s="16">
        <f>Raw_Data!G112</f>
        <v>9668</v>
      </c>
      <c r="E112" s="17">
        <f>Raw_Data!H112</f>
        <v>101.624</v>
      </c>
      <c r="F112" s="14">
        <f>IF(Raw_Data!I112="","",Raw_Data!I112)</f>
        <v>101.773</v>
      </c>
      <c r="G112" s="18">
        <f t="shared" si="3"/>
        <v>-1.4640425260137846E-3</v>
      </c>
      <c r="H112" s="19">
        <f>IFERROR(INDEX(Thresholds!$B$2:$B$5,MATCH(C112,Thresholds!$A$2:$A$5,0)),"")</f>
        <v>2.5000000000000001E-3</v>
      </c>
      <c r="I112" s="20">
        <f t="shared" si="4"/>
        <v>-1440.5320000000088</v>
      </c>
      <c r="J112" s="11" t="str">
        <f t="shared" si="5"/>
        <v>OK</v>
      </c>
      <c r="K112" s="11" t="str">
        <f>IF(COUNTIF(Raw_Data!$A$2:A112,Raw_Data!A112)&gt;1,"DUP","UNIQUE")</f>
        <v>UNIQUE</v>
      </c>
      <c r="L112" s="11" t="str">
        <f>IF(Raw_Data!B112&lt;&gt;Thresholds!$E$1,"STALE","CURRENT")</f>
        <v>CURRENT</v>
      </c>
    </row>
    <row r="113" spans="1:12" x14ac:dyDescent="0.3">
      <c r="A113" s="15" t="str">
        <f>Raw_Data!A113</f>
        <v>P0111</v>
      </c>
      <c r="B113" s="15" t="str">
        <f>Raw_Data!C113</f>
        <v>London Rates</v>
      </c>
      <c r="C113" s="11" t="str">
        <f>IFERROR(INDEX(Thresholds!$A$2:$A$5,MATCH(TRIM(Raw_Data!D113),Thresholds!$A$2:$A$5,0)),"UNMAPPED")</f>
        <v>Government Bond</v>
      </c>
      <c r="D113" s="16">
        <f>Raw_Data!G113</f>
        <v>16398</v>
      </c>
      <c r="E113" s="17">
        <f>Raw_Data!H113</f>
        <v>97.251999999999995</v>
      </c>
      <c r="F113" s="14">
        <f>IF(Raw_Data!I113="","",Raw_Data!I113)</f>
        <v>97.376999999999995</v>
      </c>
      <c r="G113" s="18">
        <f t="shared" si="3"/>
        <v>-1.28367068198856E-3</v>
      </c>
      <c r="H113" s="19">
        <f>IFERROR(INDEX(Thresholds!$B$2:$B$5,MATCH(C113,Thresholds!$A$2:$A$5,0)),"")</f>
        <v>2.5000000000000001E-3</v>
      </c>
      <c r="I113" s="20">
        <f t="shared" si="4"/>
        <v>-2049.75</v>
      </c>
      <c r="J113" s="11" t="str">
        <f t="shared" si="5"/>
        <v>OK</v>
      </c>
      <c r="K113" s="11" t="str">
        <f>IF(COUNTIF(Raw_Data!$A$2:A113,Raw_Data!A113)&gt;1,"DUP","UNIQUE")</f>
        <v>UNIQUE</v>
      </c>
      <c r="L113" s="11" t="str">
        <f>IF(Raw_Data!B113&lt;&gt;Thresholds!$E$1,"STALE","CURRENT")</f>
        <v>CURRENT</v>
      </c>
    </row>
    <row r="114" spans="1:12" x14ac:dyDescent="0.3">
      <c r="A114" s="15" t="str">
        <f>Raw_Data!A114</f>
        <v>P0112</v>
      </c>
      <c r="B114" s="15" t="str">
        <f>Raw_Data!C114</f>
        <v>London Credit</v>
      </c>
      <c r="C114" s="11" t="str">
        <f>IFERROR(INDEX(Thresholds!$A$2:$A$5,MATCH(TRIM(Raw_Data!D114),Thresholds!$A$2:$A$5,0)),"UNMAPPED")</f>
        <v>Corporate Bond</v>
      </c>
      <c r="D114" s="16">
        <f>Raw_Data!G114</f>
        <v>11983</v>
      </c>
      <c r="E114" s="17">
        <f>Raw_Data!H114</f>
        <v>96.540999999999997</v>
      </c>
      <c r="F114" s="14">
        <f>IF(Raw_Data!I114="","",Raw_Data!I114)</f>
        <v>97.134</v>
      </c>
      <c r="G114" s="18">
        <f t="shared" si="3"/>
        <v>-6.1049683941771524E-3</v>
      </c>
      <c r="H114" s="19">
        <f>IFERROR(INDEX(Thresholds!$B$2:$B$5,MATCH(C114,Thresholds!$A$2:$A$5,0)),"")</f>
        <v>5.0000000000000001E-3</v>
      </c>
      <c r="I114" s="20">
        <f t="shared" si="4"/>
        <v>-7105.9190000000426</v>
      </c>
      <c r="J114" s="11" t="str">
        <f t="shared" si="5"/>
        <v>BREACH</v>
      </c>
      <c r="K114" s="11" t="str">
        <f>IF(COUNTIF(Raw_Data!$A$2:A114,Raw_Data!A114)&gt;1,"DUP","UNIQUE")</f>
        <v>UNIQUE</v>
      </c>
      <c r="L114" s="11" t="str">
        <f>IF(Raw_Data!B114&lt;&gt;Thresholds!$E$1,"STALE","CURRENT")</f>
        <v>CURRENT</v>
      </c>
    </row>
    <row r="115" spans="1:12" x14ac:dyDescent="0.3">
      <c r="A115" s="15" t="str">
        <f>Raw_Data!A115</f>
        <v>P0113</v>
      </c>
      <c r="B115" s="15" t="str">
        <f>Raw_Data!C115</f>
        <v>Singapore FX</v>
      </c>
      <c r="C115" s="11" t="str">
        <f>IFERROR(INDEX(Thresholds!$A$2:$A$5,MATCH(TRIM(Raw_Data!D115),Thresholds!$A$2:$A$5,0)),"UNMAPPED")</f>
        <v>FX Forward</v>
      </c>
      <c r="D115" s="16">
        <f>Raw_Data!G115</f>
        <v>511412</v>
      </c>
      <c r="E115" s="17">
        <f>Raw_Data!H115</f>
        <v>0.60809999999999997</v>
      </c>
      <c r="F115" s="14">
        <f>IF(Raw_Data!I115="","",Raw_Data!I115)</f>
        <v>0.60568999999999995</v>
      </c>
      <c r="G115" s="18">
        <f t="shared" si="3"/>
        <v>3.9789331176014516E-3</v>
      </c>
      <c r="H115" s="19">
        <f>IFERROR(INDEX(Thresholds!$B$2:$B$5,MATCH(C115,Thresholds!$A$2:$A$5,0)),"")</f>
        <v>3.0000000000000001E-3</v>
      </c>
      <c r="I115" s="20">
        <f t="shared" si="4"/>
        <v>1232.502920000012</v>
      </c>
      <c r="J115" s="11" t="str">
        <f t="shared" si="5"/>
        <v>BREACH</v>
      </c>
      <c r="K115" s="11" t="str">
        <f>IF(COUNTIF(Raw_Data!$A$2:A115,Raw_Data!A115)&gt;1,"DUP","UNIQUE")</f>
        <v>UNIQUE</v>
      </c>
      <c r="L115" s="11" t="str">
        <f>IF(Raw_Data!B115&lt;&gt;Thresholds!$E$1,"STALE","CURRENT")</f>
        <v>CURRENT</v>
      </c>
    </row>
    <row r="116" spans="1:12" x14ac:dyDescent="0.3">
      <c r="A116" s="15" t="str">
        <f>Raw_Data!A116</f>
        <v>P0114</v>
      </c>
      <c r="B116" s="15" t="str">
        <f>Raw_Data!C116</f>
        <v>London Rates</v>
      </c>
      <c r="C116" s="11" t="str">
        <f>IFERROR(INDEX(Thresholds!$A$2:$A$5,MATCH(TRIM(Raw_Data!D116),Thresholds!$A$2:$A$5,0)),"UNMAPPED")</f>
        <v>Government Bond</v>
      </c>
      <c r="D116" s="16">
        <f>Raw_Data!G116</f>
        <v>3660</v>
      </c>
      <c r="E116" s="17">
        <f>Raw_Data!H116</f>
        <v>103.581</v>
      </c>
      <c r="F116" s="14">
        <f>IF(Raw_Data!I116="","",Raw_Data!I116)</f>
        <v>103.562</v>
      </c>
      <c r="G116" s="18">
        <f t="shared" si="3"/>
        <v>1.8346497750145282E-4</v>
      </c>
      <c r="H116" s="19">
        <f>IFERROR(INDEX(Thresholds!$B$2:$B$5,MATCH(C116,Thresholds!$A$2:$A$5,0)),"")</f>
        <v>2.5000000000000001E-3</v>
      </c>
      <c r="I116" s="20">
        <f t="shared" si="4"/>
        <v>69.540000000019973</v>
      </c>
      <c r="J116" s="11" t="str">
        <f t="shared" si="5"/>
        <v>OK</v>
      </c>
      <c r="K116" s="11" t="str">
        <f>IF(COUNTIF(Raw_Data!$A$2:A116,Raw_Data!A116)&gt;1,"DUP","UNIQUE")</f>
        <v>UNIQUE</v>
      </c>
      <c r="L116" s="11" t="str">
        <f>IF(Raw_Data!B116&lt;&gt;Thresholds!$E$1,"STALE","CURRENT")</f>
        <v>CURRENT</v>
      </c>
    </row>
    <row r="117" spans="1:12" x14ac:dyDescent="0.3">
      <c r="A117" s="15" t="str">
        <f>Raw_Data!A117</f>
        <v>P0115</v>
      </c>
      <c r="B117" s="15" t="str">
        <f>Raw_Data!C117</f>
        <v>Singapore FX</v>
      </c>
      <c r="C117" s="11" t="str">
        <f>IFERROR(INDEX(Thresholds!$A$2:$A$5,MATCH(TRIM(Raw_Data!D117),Thresholds!$A$2:$A$5,0)),"UNMAPPED")</f>
        <v>FX Forward</v>
      </c>
      <c r="D117" s="16">
        <f>Raw_Data!G117</f>
        <v>2799264</v>
      </c>
      <c r="E117" s="17">
        <f>Raw_Data!H117</f>
        <v>1.0553399999999999</v>
      </c>
      <c r="F117" s="14">
        <f>IF(Raw_Data!I117="","",Raw_Data!I117)</f>
        <v>1.05474</v>
      </c>
      <c r="G117" s="18">
        <f t="shared" si="3"/>
        <v>5.6886057227367303E-4</v>
      </c>
      <c r="H117" s="19">
        <f>IFERROR(INDEX(Thresholds!$B$2:$B$5,MATCH(C117,Thresholds!$A$2:$A$5,0)),"")</f>
        <v>3.0000000000000001E-3</v>
      </c>
      <c r="I117" s="20">
        <f t="shared" si="4"/>
        <v>1679.558399999815</v>
      </c>
      <c r="J117" s="11" t="str">
        <f t="shared" si="5"/>
        <v>OK</v>
      </c>
      <c r="K117" s="11" t="str">
        <f>IF(COUNTIF(Raw_Data!$A$2:A117,Raw_Data!A117)&gt;1,"DUP","UNIQUE")</f>
        <v>UNIQUE</v>
      </c>
      <c r="L117" s="11" t="str">
        <f>IF(Raw_Data!B117&lt;&gt;Thresholds!$E$1,"STALE","CURRENT")</f>
        <v>CURRENT</v>
      </c>
    </row>
    <row r="118" spans="1:12" x14ac:dyDescent="0.3">
      <c r="A118" s="15" t="str">
        <f>Raw_Data!A118</f>
        <v>P0116</v>
      </c>
      <c r="B118" s="15" t="str">
        <f>Raw_Data!C118</f>
        <v>London Rates</v>
      </c>
      <c r="C118" s="11" t="str">
        <f>IFERROR(INDEX(Thresholds!$A$2:$A$5,MATCH(TRIM(Raw_Data!D118),Thresholds!$A$2:$A$5,0)),"UNMAPPED")</f>
        <v>Government Bond</v>
      </c>
      <c r="D118" s="16">
        <f>Raw_Data!G118</f>
        <v>13464</v>
      </c>
      <c r="E118" s="17">
        <f>Raw_Data!H118</f>
        <v>102.206</v>
      </c>
      <c r="F118" s="14">
        <f>IF(Raw_Data!I118="","",Raw_Data!I118)</f>
        <v>102.07599999999999</v>
      </c>
      <c r="G118" s="18">
        <f t="shared" si="3"/>
        <v>1.2735608762099776E-3</v>
      </c>
      <c r="H118" s="19">
        <f>IFERROR(INDEX(Thresholds!$B$2:$B$5,MATCH(C118,Thresholds!$A$2:$A$5,0)),"")</f>
        <v>2.5000000000000001E-3</v>
      </c>
      <c r="I118" s="20">
        <f t="shared" si="4"/>
        <v>1750.3200000001302</v>
      </c>
      <c r="J118" s="11" t="str">
        <f t="shared" si="5"/>
        <v>OK</v>
      </c>
      <c r="K118" s="11" t="str">
        <f>IF(COUNTIF(Raw_Data!$A$2:A118,Raw_Data!A118)&gt;1,"DUP","UNIQUE")</f>
        <v>UNIQUE</v>
      </c>
      <c r="L118" s="11" t="str">
        <f>IF(Raw_Data!B118&lt;&gt;Thresholds!$E$1,"STALE","CURRENT")</f>
        <v>CURRENT</v>
      </c>
    </row>
    <row r="119" spans="1:12" x14ac:dyDescent="0.3">
      <c r="A119" s="15" t="str">
        <f>Raw_Data!A119</f>
        <v>P0117</v>
      </c>
      <c r="B119" s="15" t="str">
        <f>Raw_Data!C119</f>
        <v>New York Credit</v>
      </c>
      <c r="C119" s="11" t="str">
        <f>IFERROR(INDEX(Thresholds!$A$2:$A$5,MATCH(TRIM(Raw_Data!D119),Thresholds!$A$2:$A$5,0)),"UNMAPPED")</f>
        <v>Corporate Bond</v>
      </c>
      <c r="D119" s="16">
        <f>Raw_Data!G119</f>
        <v>14248</v>
      </c>
      <c r="E119" s="17">
        <f>Raw_Data!H119</f>
        <v>99.77</v>
      </c>
      <c r="F119" s="14">
        <f>IF(Raw_Data!I119="","",Raw_Data!I119)</f>
        <v>100.05500000000001</v>
      </c>
      <c r="G119" s="18">
        <f t="shared" si="3"/>
        <v>-2.8484333616511995E-3</v>
      </c>
      <c r="H119" s="19">
        <f>IFERROR(INDEX(Thresholds!$B$2:$B$5,MATCH(C119,Thresholds!$A$2:$A$5,0)),"")</f>
        <v>5.0000000000000001E-3</v>
      </c>
      <c r="I119" s="20">
        <f t="shared" si="4"/>
        <v>-4060.680000000154</v>
      </c>
      <c r="J119" s="11" t="str">
        <f t="shared" si="5"/>
        <v>OK</v>
      </c>
      <c r="K119" s="11" t="str">
        <f>IF(COUNTIF(Raw_Data!$A$2:A119,Raw_Data!A119)&gt;1,"DUP","UNIQUE")</f>
        <v>UNIQUE</v>
      </c>
      <c r="L119" s="11" t="str">
        <f>IF(Raw_Data!B119&lt;&gt;Thresholds!$E$1,"STALE","CURRENT")</f>
        <v>CURRENT</v>
      </c>
    </row>
    <row r="120" spans="1:12" x14ac:dyDescent="0.3">
      <c r="A120" s="15" t="str">
        <f>Raw_Data!A120</f>
        <v>P0118</v>
      </c>
      <c r="B120" s="15" t="str">
        <f>Raw_Data!C120</f>
        <v>New York Rates</v>
      </c>
      <c r="C120" s="11" t="str">
        <f>IFERROR(INDEX(Thresholds!$A$2:$A$5,MATCH(TRIM(Raw_Data!D120),Thresholds!$A$2:$A$5,0)),"UNMAPPED")</f>
        <v>Government Bond</v>
      </c>
      <c r="D120" s="16">
        <f>Raw_Data!G120</f>
        <v>10440</v>
      </c>
      <c r="E120" s="17">
        <f>Raw_Data!H120</f>
        <v>96.260999999999996</v>
      </c>
      <c r="F120" s="14">
        <f>IF(Raw_Data!I120="","",Raw_Data!I120)</f>
        <v>96.180999999999997</v>
      </c>
      <c r="G120" s="18">
        <f t="shared" si="3"/>
        <v>8.3176510953305021E-4</v>
      </c>
      <c r="H120" s="19">
        <f>IFERROR(INDEX(Thresholds!$B$2:$B$5,MATCH(C120,Thresholds!$A$2:$A$5,0)),"")</f>
        <v>2.5000000000000001E-3</v>
      </c>
      <c r="I120" s="20">
        <f t="shared" si="4"/>
        <v>835.1999999999822</v>
      </c>
      <c r="J120" s="11" t="str">
        <f t="shared" si="5"/>
        <v>OK</v>
      </c>
      <c r="K120" s="11" t="str">
        <f>IF(COUNTIF(Raw_Data!$A$2:A120,Raw_Data!A120)&gt;1,"DUP","UNIQUE")</f>
        <v>UNIQUE</v>
      </c>
      <c r="L120" s="11" t="str">
        <f>IF(Raw_Data!B120&lt;&gt;Thresholds!$E$1,"STALE","CURRENT")</f>
        <v>CURRENT</v>
      </c>
    </row>
    <row r="121" spans="1:12" x14ac:dyDescent="0.3">
      <c r="A121" s="15" t="str">
        <f>Raw_Data!A121</f>
        <v>P0119</v>
      </c>
      <c r="B121" s="15" t="str">
        <f>Raw_Data!C121</f>
        <v>London Rates</v>
      </c>
      <c r="C121" s="11" t="str">
        <f>IFERROR(INDEX(Thresholds!$A$2:$A$5,MATCH(TRIM(Raw_Data!D121),Thresholds!$A$2:$A$5,0)),"UNMAPPED")</f>
        <v>Government Bond</v>
      </c>
      <c r="D121" s="16">
        <f>Raw_Data!G121</f>
        <v>19544</v>
      </c>
      <c r="E121" s="17">
        <f>Raw_Data!H121</f>
        <v>102.37</v>
      </c>
      <c r="F121" s="14">
        <f>IF(Raw_Data!I121="","",Raw_Data!I121)</f>
        <v>102.437</v>
      </c>
      <c r="G121" s="18">
        <f t="shared" si="3"/>
        <v>-6.5406054452974089E-4</v>
      </c>
      <c r="H121" s="19">
        <f>IFERROR(INDEX(Thresholds!$B$2:$B$5,MATCH(C121,Thresholds!$A$2:$A$5,0)),"")</f>
        <v>2.5000000000000001E-3</v>
      </c>
      <c r="I121" s="20">
        <f t="shared" si="4"/>
        <v>-1309.4479999998644</v>
      </c>
      <c r="J121" s="11" t="str">
        <f t="shared" si="5"/>
        <v>OK</v>
      </c>
      <c r="K121" s="11" t="str">
        <f>IF(COUNTIF(Raw_Data!$A$2:A121,Raw_Data!A121)&gt;1,"DUP","UNIQUE")</f>
        <v>UNIQUE</v>
      </c>
      <c r="L121" s="11" t="str">
        <f>IF(Raw_Data!B121&lt;&gt;Thresholds!$E$1,"STALE","CURRENT")</f>
        <v>CURRENT</v>
      </c>
    </row>
    <row r="122" spans="1:12" x14ac:dyDescent="0.3">
      <c r="A122" s="15" t="str">
        <f>Raw_Data!A122</f>
        <v>P0120</v>
      </c>
      <c r="B122" s="15" t="str">
        <f>Raw_Data!C122</f>
        <v>New York Credit</v>
      </c>
      <c r="C122" s="11" t="str">
        <f>IFERROR(INDEX(Thresholds!$A$2:$A$5,MATCH(TRIM(Raw_Data!D122),Thresholds!$A$2:$A$5,0)),"UNMAPPED")</f>
        <v>Corporate Bond</v>
      </c>
      <c r="D122" s="16">
        <f>Raw_Data!G122</f>
        <v>4753</v>
      </c>
      <c r="E122" s="17">
        <f>Raw_Data!H122</f>
        <v>94.685000000000002</v>
      </c>
      <c r="F122" s="14">
        <f>IF(Raw_Data!I122="","",Raw_Data!I122)</f>
        <v>94.992999999999995</v>
      </c>
      <c r="G122" s="18">
        <f t="shared" si="3"/>
        <v>-3.2423441727284404E-3</v>
      </c>
      <c r="H122" s="19">
        <f>IFERROR(INDEX(Thresholds!$B$2:$B$5,MATCH(C122,Thresholds!$A$2:$A$5,0)),"")</f>
        <v>5.0000000000000001E-3</v>
      </c>
      <c r="I122" s="20">
        <f t="shared" si="4"/>
        <v>-1463.9239999999654</v>
      </c>
      <c r="J122" s="11" t="str">
        <f t="shared" si="5"/>
        <v>OK</v>
      </c>
      <c r="K122" s="11" t="str">
        <f>IF(COUNTIF(Raw_Data!$A$2:A122,Raw_Data!A122)&gt;1,"DUP","UNIQUE")</f>
        <v>UNIQUE</v>
      </c>
      <c r="L122" s="11" t="str">
        <f>IF(Raw_Data!B122&lt;&gt;Thresholds!$E$1,"STALE","CURRENT")</f>
        <v>CURRENT</v>
      </c>
    </row>
    <row r="123" spans="1:12" x14ac:dyDescent="0.3">
      <c r="A123" s="15" t="str">
        <f>Raw_Data!A123</f>
        <v>P0121</v>
      </c>
      <c r="B123" s="15" t="str">
        <f>Raw_Data!C123</f>
        <v>Zurich Equities</v>
      </c>
      <c r="C123" s="11" t="str">
        <f>IFERROR(INDEX(Thresholds!$A$2:$A$5,MATCH(TRIM(Raw_Data!D123),Thresholds!$A$2:$A$5,0)),"UNMAPPED")</f>
        <v>Equity</v>
      </c>
      <c r="D123" s="16">
        <f>Raw_Data!G123</f>
        <v>16576</v>
      </c>
      <c r="E123" s="17">
        <f>Raw_Data!H123</f>
        <v>127.73</v>
      </c>
      <c r="F123" s="14">
        <f>IF(Raw_Data!I123="","",Raw_Data!I123)</f>
        <v>128.32</v>
      </c>
      <c r="G123" s="18">
        <f t="shared" si="3"/>
        <v>-4.597880299251786E-3</v>
      </c>
      <c r="H123" s="19">
        <f>IFERROR(INDEX(Thresholds!$B$2:$B$5,MATCH(C123,Thresholds!$A$2:$A$5,0)),"")</f>
        <v>0.01</v>
      </c>
      <c r="I123" s="20">
        <f t="shared" si="4"/>
        <v>-9779.8399999998219</v>
      </c>
      <c r="J123" s="11" t="str">
        <f t="shared" si="5"/>
        <v>OK</v>
      </c>
      <c r="K123" s="11" t="str">
        <f>IF(COUNTIF(Raw_Data!$A$2:A123,Raw_Data!A123)&gt;1,"DUP","UNIQUE")</f>
        <v>UNIQUE</v>
      </c>
      <c r="L123" s="11" t="str">
        <f>IF(Raw_Data!B123&lt;&gt;Thresholds!$E$1,"STALE","CURRENT")</f>
        <v>CURRENT</v>
      </c>
    </row>
    <row r="124" spans="1:12" x14ac:dyDescent="0.3">
      <c r="A124" s="15" t="str">
        <f>Raw_Data!A124</f>
        <v>P0122</v>
      </c>
      <c r="B124" s="15" t="str">
        <f>Raw_Data!C124</f>
        <v>Singapore Equities</v>
      </c>
      <c r="C124" s="11" t="str">
        <f>IFERROR(INDEX(Thresholds!$A$2:$A$5,MATCH(TRIM(Raw_Data!D124),Thresholds!$A$2:$A$5,0)),"UNMAPPED")</f>
        <v>Equity</v>
      </c>
      <c r="D124" s="16">
        <f>Raw_Data!G124</f>
        <v>10438</v>
      </c>
      <c r="E124" s="17">
        <f>Raw_Data!H124</f>
        <v>266.64</v>
      </c>
      <c r="F124" s="14">
        <f>IF(Raw_Data!I124="","",Raw_Data!I124)</f>
        <v>265.70999999999998</v>
      </c>
      <c r="G124" s="18">
        <f t="shared" si="3"/>
        <v>3.5000564525234537E-3</v>
      </c>
      <c r="H124" s="19">
        <f>IFERROR(INDEX(Thresholds!$B$2:$B$5,MATCH(C124,Thresholds!$A$2:$A$5,0)),"")</f>
        <v>0.01</v>
      </c>
      <c r="I124" s="20">
        <f t="shared" si="4"/>
        <v>9707.3400000000711</v>
      </c>
      <c r="J124" s="11" t="str">
        <f t="shared" si="5"/>
        <v>OK</v>
      </c>
      <c r="K124" s="11" t="str">
        <f>IF(COUNTIF(Raw_Data!$A$2:A124,Raw_Data!A124)&gt;1,"DUP","UNIQUE")</f>
        <v>UNIQUE</v>
      </c>
      <c r="L124" s="11" t="str">
        <f>IF(Raw_Data!B124&lt;&gt;Thresholds!$E$1,"STALE","CURRENT")</f>
        <v>CURRENT</v>
      </c>
    </row>
    <row r="125" spans="1:12" x14ac:dyDescent="0.3">
      <c r="A125" s="15" t="str">
        <f>Raw_Data!A125</f>
        <v>P0123</v>
      </c>
      <c r="B125" s="15" t="str">
        <f>Raw_Data!C125</f>
        <v>London Rates</v>
      </c>
      <c r="C125" s="11" t="str">
        <f>IFERROR(INDEX(Thresholds!$A$2:$A$5,MATCH(TRIM(Raw_Data!D125),Thresholds!$A$2:$A$5,0)),"UNMAPPED")</f>
        <v>Government Bond</v>
      </c>
      <c r="D125" s="16">
        <f>Raw_Data!G125</f>
        <v>8874</v>
      </c>
      <c r="E125" s="17">
        <f>Raw_Data!H125</f>
        <v>97.930999999999997</v>
      </c>
      <c r="F125" s="14">
        <f>IF(Raw_Data!I125="","",Raw_Data!I125)</f>
        <v>98.034999999999997</v>
      </c>
      <c r="G125" s="18">
        <f t="shared" si="3"/>
        <v>-1.0608456163614954E-3</v>
      </c>
      <c r="H125" s="19">
        <f>IFERROR(INDEX(Thresholds!$B$2:$B$5,MATCH(C125,Thresholds!$A$2:$A$5,0)),"")</f>
        <v>2.5000000000000001E-3</v>
      </c>
      <c r="I125" s="20">
        <f t="shared" si="4"/>
        <v>-922.89599999999291</v>
      </c>
      <c r="J125" s="11" t="str">
        <f t="shared" si="5"/>
        <v>OK</v>
      </c>
      <c r="K125" s="11" t="str">
        <f>IF(COUNTIF(Raw_Data!$A$2:A125,Raw_Data!A125)&gt;1,"DUP","UNIQUE")</f>
        <v>UNIQUE</v>
      </c>
      <c r="L125" s="11" t="str">
        <f>IF(Raw_Data!B125&lt;&gt;Thresholds!$E$1,"STALE","CURRENT")</f>
        <v>CURRENT</v>
      </c>
    </row>
    <row r="126" spans="1:12" x14ac:dyDescent="0.3">
      <c r="A126" s="15" t="str">
        <f>Raw_Data!A126</f>
        <v>P0124</v>
      </c>
      <c r="B126" s="15" t="str">
        <f>Raw_Data!C126</f>
        <v>London Rates</v>
      </c>
      <c r="C126" s="11" t="str">
        <f>IFERROR(INDEX(Thresholds!$A$2:$A$5,MATCH(TRIM(Raw_Data!D126),Thresholds!$A$2:$A$5,0)),"UNMAPPED")</f>
        <v>Government Bond</v>
      </c>
      <c r="D126" s="16">
        <f>Raw_Data!G126</f>
        <v>2786</v>
      </c>
      <c r="E126" s="17">
        <f>Raw_Data!H126</f>
        <v>98.194000000000003</v>
      </c>
      <c r="F126" s="14">
        <f>IF(Raw_Data!I126="","",Raw_Data!I126)</f>
        <v>98.179000000000002</v>
      </c>
      <c r="G126" s="18">
        <f t="shared" si="3"/>
        <v>1.5278216319172702E-4</v>
      </c>
      <c r="H126" s="19">
        <f>IFERROR(INDEX(Thresholds!$B$2:$B$5,MATCH(C126,Thresholds!$A$2:$A$5,0)),"")</f>
        <v>2.5000000000000001E-3</v>
      </c>
      <c r="I126" s="20">
        <f t="shared" si="4"/>
        <v>41.790000000001584</v>
      </c>
      <c r="J126" s="11" t="str">
        <f t="shared" si="5"/>
        <v>OK</v>
      </c>
      <c r="K126" s="11" t="str">
        <f>IF(COUNTIF(Raw_Data!$A$2:A126,Raw_Data!A126)&gt;1,"DUP","UNIQUE")</f>
        <v>UNIQUE</v>
      </c>
      <c r="L126" s="11" t="str">
        <f>IF(Raw_Data!B126&lt;&gt;Thresholds!$E$1,"STALE","CURRENT")</f>
        <v>STALE</v>
      </c>
    </row>
    <row r="127" spans="1:12" x14ac:dyDescent="0.3">
      <c r="A127" s="15" t="str">
        <f>Raw_Data!A127</f>
        <v>P0125</v>
      </c>
      <c r="B127" s="15" t="str">
        <f>Raw_Data!C127</f>
        <v>New York Credit</v>
      </c>
      <c r="C127" s="11" t="str">
        <f>IFERROR(INDEX(Thresholds!$A$2:$A$5,MATCH(TRIM(Raw_Data!D127),Thresholds!$A$2:$A$5,0)),"UNMAPPED")</f>
        <v>Corporate Bond</v>
      </c>
      <c r="D127" s="16">
        <f>Raw_Data!G127</f>
        <v>14730</v>
      </c>
      <c r="E127" s="17">
        <f>Raw_Data!H127</f>
        <v>104.056</v>
      </c>
      <c r="F127" s="14">
        <f>IF(Raw_Data!I127="","",Raw_Data!I127)</f>
        <v>103.66800000000001</v>
      </c>
      <c r="G127" s="18">
        <f t="shared" si="3"/>
        <v>3.7427171354708394E-3</v>
      </c>
      <c r="H127" s="19">
        <f>IFERROR(INDEX(Thresholds!$B$2:$B$5,MATCH(C127,Thresholds!$A$2:$A$5,0)),"")</f>
        <v>5.0000000000000001E-3</v>
      </c>
      <c r="I127" s="20">
        <f t="shared" si="4"/>
        <v>5715.2399999998679</v>
      </c>
      <c r="J127" s="11" t="str">
        <f t="shared" si="5"/>
        <v>OK</v>
      </c>
      <c r="K127" s="11" t="str">
        <f>IF(COUNTIF(Raw_Data!$A$2:A127,Raw_Data!A127)&gt;1,"DUP","UNIQUE")</f>
        <v>UNIQUE</v>
      </c>
      <c r="L127" s="11" t="str">
        <f>IF(Raw_Data!B127&lt;&gt;Thresholds!$E$1,"STALE","CURRENT")</f>
        <v>CURRENT</v>
      </c>
    </row>
    <row r="128" spans="1:12" x14ac:dyDescent="0.3">
      <c r="A128" s="15" t="str">
        <f>Raw_Data!A128</f>
        <v>P0126</v>
      </c>
      <c r="B128" s="15" t="str">
        <f>Raw_Data!C128</f>
        <v>Zurich FX</v>
      </c>
      <c r="C128" s="11" t="str">
        <f>IFERROR(INDEX(Thresholds!$A$2:$A$5,MATCH(TRIM(Raw_Data!D128),Thresholds!$A$2:$A$5,0)),"UNMAPPED")</f>
        <v>FX Forward</v>
      </c>
      <c r="D128" s="16">
        <f>Raw_Data!G128</f>
        <v>2510709</v>
      </c>
      <c r="E128" s="17">
        <f>Raw_Data!H128</f>
        <v>1.21746</v>
      </c>
      <c r="F128" s="14">
        <f>IF(Raw_Data!I128="","",Raw_Data!I128)</f>
        <v>1.2172000000000001</v>
      </c>
      <c r="G128" s="18">
        <f t="shared" si="3"/>
        <v>2.1360499507059393E-4</v>
      </c>
      <c r="H128" s="19">
        <f>IFERROR(INDEX(Thresholds!$B$2:$B$5,MATCH(C128,Thresholds!$A$2:$A$5,0)),"")</f>
        <v>3.0000000000000001E-3</v>
      </c>
      <c r="I128" s="20">
        <f t="shared" si="4"/>
        <v>652.78433999981655</v>
      </c>
      <c r="J128" s="11" t="str">
        <f t="shared" si="5"/>
        <v>OK</v>
      </c>
      <c r="K128" s="11" t="str">
        <f>IF(COUNTIF(Raw_Data!$A$2:A128,Raw_Data!A128)&gt;1,"DUP","UNIQUE")</f>
        <v>UNIQUE</v>
      </c>
      <c r="L128" s="11" t="str">
        <f>IF(Raw_Data!B128&lt;&gt;Thresholds!$E$1,"STALE","CURRENT")</f>
        <v>CURRENT</v>
      </c>
    </row>
    <row r="129" spans="1:12" x14ac:dyDescent="0.3">
      <c r="A129" s="15" t="str">
        <f>Raw_Data!A129</f>
        <v>P0127</v>
      </c>
      <c r="B129" s="15" t="str">
        <f>Raw_Data!C129</f>
        <v>New York Credit</v>
      </c>
      <c r="C129" s="11" t="str">
        <f>IFERROR(INDEX(Thresholds!$A$2:$A$5,MATCH(TRIM(Raw_Data!D129),Thresholds!$A$2:$A$5,0)),"UNMAPPED")</f>
        <v>Corporate Bond</v>
      </c>
      <c r="D129" s="16">
        <f>Raw_Data!G129</f>
        <v>19893</v>
      </c>
      <c r="E129" s="17">
        <f>Raw_Data!H129</f>
        <v>101.699</v>
      </c>
      <c r="F129" s="14">
        <f>IF(Raw_Data!I129="","",Raw_Data!I129)</f>
        <v>101.95</v>
      </c>
      <c r="G129" s="18">
        <f t="shared" si="3"/>
        <v>-2.4619911721432543E-3</v>
      </c>
      <c r="H129" s="19">
        <f>IFERROR(INDEX(Thresholds!$B$2:$B$5,MATCH(C129,Thresholds!$A$2:$A$5,0)),"")</f>
        <v>5.0000000000000001E-3</v>
      </c>
      <c r="I129" s="20">
        <f t="shared" si="4"/>
        <v>-4993.1430000000946</v>
      </c>
      <c r="J129" s="11" t="str">
        <f t="shared" si="5"/>
        <v>OK</v>
      </c>
      <c r="K129" s="11" t="str">
        <f>IF(COUNTIF(Raw_Data!$A$2:A129,Raw_Data!A129)&gt;1,"DUP","UNIQUE")</f>
        <v>UNIQUE</v>
      </c>
      <c r="L129" s="11" t="str">
        <f>IF(Raw_Data!B129&lt;&gt;Thresholds!$E$1,"STALE","CURRENT")</f>
        <v>CURRENT</v>
      </c>
    </row>
    <row r="130" spans="1:12" x14ac:dyDescent="0.3">
      <c r="A130" s="15" t="str">
        <f>Raw_Data!A130</f>
        <v>P0128</v>
      </c>
      <c r="B130" s="15" t="str">
        <f>Raw_Data!C130</f>
        <v>Zurich Equities</v>
      </c>
      <c r="C130" s="11" t="str">
        <f>IFERROR(INDEX(Thresholds!$A$2:$A$5,MATCH(TRIM(Raw_Data!D130),Thresholds!$A$2:$A$5,0)),"UNMAPPED")</f>
        <v>Equity</v>
      </c>
      <c r="D130" s="16">
        <f>Raw_Data!G130</f>
        <v>10759</v>
      </c>
      <c r="E130" s="17">
        <f>Raw_Data!H130</f>
        <v>126.44</v>
      </c>
      <c r="F130" s="14">
        <f>IF(Raw_Data!I130="","",Raw_Data!I130)</f>
        <v>127.6</v>
      </c>
      <c r="G130" s="18">
        <f t="shared" ref="G130:G193" si="6">IF(F130="","",(E130-F130)/F130)</f>
        <v>-9.0909090909090644E-3</v>
      </c>
      <c r="H130" s="19">
        <f>IFERROR(INDEX(Thresholds!$B$2:$B$5,MATCH(C130,Thresholds!$A$2:$A$5,0)),"")</f>
        <v>0.01</v>
      </c>
      <c r="I130" s="20">
        <f t="shared" ref="I130:I193" si="7">IF(F130="","",D130*(E130-F130))</f>
        <v>-12480.439999999964</v>
      </c>
      <c r="J130" s="11" t="str">
        <f t="shared" ref="J130:J193" si="8">IF(C130="UNMAPPED","UNMAPPED ASSET CLASS",IF(F130="","NO INDEPENDENT PRICE",IF(ABS(G130)&gt;H130,"BREACH","OK")))</f>
        <v>OK</v>
      </c>
      <c r="K130" s="11" t="str">
        <f>IF(COUNTIF(Raw_Data!$A$2:A130,Raw_Data!A130)&gt;1,"DUP","UNIQUE")</f>
        <v>UNIQUE</v>
      </c>
      <c r="L130" s="11" t="str">
        <f>IF(Raw_Data!B130&lt;&gt;Thresholds!$E$1,"STALE","CURRENT")</f>
        <v>CURRENT</v>
      </c>
    </row>
    <row r="131" spans="1:12" x14ac:dyDescent="0.3">
      <c r="A131" s="15" t="str">
        <f>Raw_Data!A131</f>
        <v>P0129</v>
      </c>
      <c r="B131" s="15" t="str">
        <f>Raw_Data!C131</f>
        <v>Zurich Equities</v>
      </c>
      <c r="C131" s="11" t="str">
        <f>IFERROR(INDEX(Thresholds!$A$2:$A$5,MATCH(TRIM(Raw_Data!D131),Thresholds!$A$2:$A$5,0)),"UNMAPPED")</f>
        <v>Equity</v>
      </c>
      <c r="D131" s="16">
        <f>Raw_Data!G131</f>
        <v>22398</v>
      </c>
      <c r="E131" s="17">
        <f>Raw_Data!H131</f>
        <v>215.48</v>
      </c>
      <c r="F131" s="14">
        <f>IF(Raw_Data!I131="","",Raw_Data!I131)</f>
        <v>216.53</v>
      </c>
      <c r="G131" s="18">
        <f t="shared" si="6"/>
        <v>-4.8492125802429746E-3</v>
      </c>
      <c r="H131" s="19">
        <f>IFERROR(INDEX(Thresholds!$B$2:$B$5,MATCH(C131,Thresholds!$A$2:$A$5,0)),"")</f>
        <v>0.01</v>
      </c>
      <c r="I131" s="20">
        <f t="shared" si="7"/>
        <v>-23517.900000000256</v>
      </c>
      <c r="J131" s="11" t="str">
        <f t="shared" si="8"/>
        <v>OK</v>
      </c>
      <c r="K131" s="11" t="str">
        <f>IF(COUNTIF(Raw_Data!$A$2:A131,Raw_Data!A131)&gt;1,"DUP","UNIQUE")</f>
        <v>UNIQUE</v>
      </c>
      <c r="L131" s="11" t="str">
        <f>IF(Raw_Data!B131&lt;&gt;Thresholds!$E$1,"STALE","CURRENT")</f>
        <v>CURRENT</v>
      </c>
    </row>
    <row r="132" spans="1:12" x14ac:dyDescent="0.3">
      <c r="A132" s="15" t="str">
        <f>Raw_Data!A132</f>
        <v>P0130</v>
      </c>
      <c r="B132" s="15" t="str">
        <f>Raw_Data!C132</f>
        <v>Zurich Equities</v>
      </c>
      <c r="C132" s="11" t="str">
        <f>IFERROR(INDEX(Thresholds!$A$2:$A$5,MATCH(TRIM(Raw_Data!D132),Thresholds!$A$2:$A$5,0)),"UNMAPPED")</f>
        <v>Equity</v>
      </c>
      <c r="D132" s="16">
        <f>Raw_Data!G132</f>
        <v>10999</v>
      </c>
      <c r="E132" s="17">
        <f>Raw_Data!H132</f>
        <v>291.32</v>
      </c>
      <c r="F132" s="14" t="str">
        <f>IF(Raw_Data!I132="","",Raw_Data!I132)</f>
        <v/>
      </c>
      <c r="G132" s="18" t="str">
        <f t="shared" si="6"/>
        <v/>
      </c>
      <c r="H132" s="19">
        <f>IFERROR(INDEX(Thresholds!$B$2:$B$5,MATCH(C132,Thresholds!$A$2:$A$5,0)),"")</f>
        <v>0.01</v>
      </c>
      <c r="I132" s="20" t="str">
        <f t="shared" si="7"/>
        <v/>
      </c>
      <c r="J132" s="11" t="str">
        <f t="shared" si="8"/>
        <v>NO INDEPENDENT PRICE</v>
      </c>
      <c r="K132" s="11" t="str">
        <f>IF(COUNTIF(Raw_Data!$A$2:A132,Raw_Data!A132)&gt;1,"DUP","UNIQUE")</f>
        <v>UNIQUE</v>
      </c>
      <c r="L132" s="11" t="str">
        <f>IF(Raw_Data!B132&lt;&gt;Thresholds!$E$1,"STALE","CURRENT")</f>
        <v>CURRENT</v>
      </c>
    </row>
    <row r="133" spans="1:12" x14ac:dyDescent="0.3">
      <c r="A133" s="15" t="str">
        <f>Raw_Data!A133</f>
        <v>P0131</v>
      </c>
      <c r="B133" s="15" t="str">
        <f>Raw_Data!C133</f>
        <v>New York Rates</v>
      </c>
      <c r="C133" s="11" t="str">
        <f>IFERROR(INDEX(Thresholds!$A$2:$A$5,MATCH(TRIM(Raw_Data!D133),Thresholds!$A$2:$A$5,0)),"UNMAPPED")</f>
        <v>Government Bond</v>
      </c>
      <c r="D133" s="16">
        <f>Raw_Data!G133</f>
        <v>14488</v>
      </c>
      <c r="E133" s="17">
        <f>Raw_Data!H133</f>
        <v>98.567999999999998</v>
      </c>
      <c r="F133" s="14">
        <f>IF(Raw_Data!I133="","",Raw_Data!I133)</f>
        <v>98.522000000000006</v>
      </c>
      <c r="G133" s="18">
        <f t="shared" si="6"/>
        <v>4.6690079373127083E-4</v>
      </c>
      <c r="H133" s="19">
        <f>IFERROR(INDEX(Thresholds!$B$2:$B$5,MATCH(C133,Thresholds!$A$2:$A$5,0)),"")</f>
        <v>2.5000000000000001E-3</v>
      </c>
      <c r="I133" s="20">
        <f t="shared" si="7"/>
        <v>666.447999999888</v>
      </c>
      <c r="J133" s="11" t="str">
        <f t="shared" si="8"/>
        <v>OK</v>
      </c>
      <c r="K133" s="11" t="str">
        <f>IF(COUNTIF(Raw_Data!$A$2:A133,Raw_Data!A133)&gt;1,"DUP","UNIQUE")</f>
        <v>UNIQUE</v>
      </c>
      <c r="L133" s="11" t="str">
        <f>IF(Raw_Data!B133&lt;&gt;Thresholds!$E$1,"STALE","CURRENT")</f>
        <v>CURRENT</v>
      </c>
    </row>
    <row r="134" spans="1:12" x14ac:dyDescent="0.3">
      <c r="A134" s="15" t="str">
        <f>Raw_Data!A134</f>
        <v>P0132</v>
      </c>
      <c r="B134" s="15" t="str">
        <f>Raw_Data!C134</f>
        <v>New York Rates</v>
      </c>
      <c r="C134" s="11" t="str">
        <f>IFERROR(INDEX(Thresholds!$A$2:$A$5,MATCH(TRIM(Raw_Data!D134),Thresholds!$A$2:$A$5,0)),"UNMAPPED")</f>
        <v>Government Bond</v>
      </c>
      <c r="D134" s="16">
        <f>Raw_Data!G134</f>
        <v>9794</v>
      </c>
      <c r="E134" s="17">
        <f>Raw_Data!H134</f>
        <v>102.60599999999999</v>
      </c>
      <c r="F134" s="14">
        <f>IF(Raw_Data!I134="","",Raw_Data!I134)</f>
        <v>102.69199999999999</v>
      </c>
      <c r="G134" s="18">
        <f t="shared" si="6"/>
        <v>-8.3745569275112499E-4</v>
      </c>
      <c r="H134" s="19">
        <f>IFERROR(INDEX(Thresholds!$B$2:$B$5,MATCH(C134,Thresholds!$A$2:$A$5,0)),"")</f>
        <v>2.5000000000000001E-3</v>
      </c>
      <c r="I134" s="20">
        <f t="shared" si="7"/>
        <v>-842.28399999998555</v>
      </c>
      <c r="J134" s="11" t="str">
        <f t="shared" si="8"/>
        <v>OK</v>
      </c>
      <c r="K134" s="11" t="str">
        <f>IF(COUNTIF(Raw_Data!$A$2:A134,Raw_Data!A134)&gt;1,"DUP","UNIQUE")</f>
        <v>UNIQUE</v>
      </c>
      <c r="L134" s="11" t="str">
        <f>IF(Raw_Data!B134&lt;&gt;Thresholds!$E$1,"STALE","CURRENT")</f>
        <v>CURRENT</v>
      </c>
    </row>
    <row r="135" spans="1:12" x14ac:dyDescent="0.3">
      <c r="A135" s="15" t="str">
        <f>Raw_Data!A135</f>
        <v>P0133</v>
      </c>
      <c r="B135" s="15" t="str">
        <f>Raw_Data!C135</f>
        <v>New York Rates</v>
      </c>
      <c r="C135" s="11" t="str">
        <f>IFERROR(INDEX(Thresholds!$A$2:$A$5,MATCH(TRIM(Raw_Data!D135),Thresholds!$A$2:$A$5,0)),"UNMAPPED")</f>
        <v>Government Bond</v>
      </c>
      <c r="D135" s="16">
        <f>Raw_Data!G135</f>
        <v>8501</v>
      </c>
      <c r="E135" s="17">
        <f>Raw_Data!H135</f>
        <v>96.206999999999994</v>
      </c>
      <c r="F135" s="14">
        <f>IF(Raw_Data!I135="","",Raw_Data!I135)</f>
        <v>96.182000000000002</v>
      </c>
      <c r="G135" s="18">
        <f t="shared" si="6"/>
        <v>2.5992389428366504E-4</v>
      </c>
      <c r="H135" s="19">
        <f>IFERROR(INDEX(Thresholds!$B$2:$B$5,MATCH(C135,Thresholds!$A$2:$A$5,0)),"")</f>
        <v>2.5000000000000001E-3</v>
      </c>
      <c r="I135" s="20">
        <f t="shared" si="7"/>
        <v>212.5249999999275</v>
      </c>
      <c r="J135" s="11" t="str">
        <f t="shared" si="8"/>
        <v>OK</v>
      </c>
      <c r="K135" s="11" t="str">
        <f>IF(COUNTIF(Raw_Data!$A$2:A135,Raw_Data!A135)&gt;1,"DUP","UNIQUE")</f>
        <v>UNIQUE</v>
      </c>
      <c r="L135" s="11" t="str">
        <f>IF(Raw_Data!B135&lt;&gt;Thresholds!$E$1,"STALE","CURRENT")</f>
        <v>CURRENT</v>
      </c>
    </row>
    <row r="136" spans="1:12" x14ac:dyDescent="0.3">
      <c r="A136" s="15" t="str">
        <f>Raw_Data!A136</f>
        <v>P0134</v>
      </c>
      <c r="B136" s="15" t="str">
        <f>Raw_Data!C136</f>
        <v>Singapore Equities</v>
      </c>
      <c r="C136" s="11" t="str">
        <f>IFERROR(INDEX(Thresholds!$A$2:$A$5,MATCH(TRIM(Raw_Data!D136),Thresholds!$A$2:$A$5,0)),"UNMAPPED")</f>
        <v>Equity</v>
      </c>
      <c r="D136" s="16">
        <f>Raw_Data!G136</f>
        <v>42924</v>
      </c>
      <c r="E136" s="17">
        <f>Raw_Data!H136</f>
        <v>135.11000000000001</v>
      </c>
      <c r="F136" s="14">
        <f>IF(Raw_Data!I136="","",Raw_Data!I136)</f>
        <v>134.96</v>
      </c>
      <c r="G136" s="18">
        <f t="shared" si="6"/>
        <v>1.1114404267931659E-3</v>
      </c>
      <c r="H136" s="19">
        <f>IFERROR(INDEX(Thresholds!$B$2:$B$5,MATCH(C136,Thresholds!$A$2:$A$5,0)),"")</f>
        <v>0.01</v>
      </c>
      <c r="I136" s="20">
        <f t="shared" si="7"/>
        <v>6438.6000000002441</v>
      </c>
      <c r="J136" s="11" t="str">
        <f t="shared" si="8"/>
        <v>OK</v>
      </c>
      <c r="K136" s="11" t="str">
        <f>IF(COUNTIF(Raw_Data!$A$2:A136,Raw_Data!A136)&gt;1,"DUP","UNIQUE")</f>
        <v>UNIQUE</v>
      </c>
      <c r="L136" s="11" t="str">
        <f>IF(Raw_Data!B136&lt;&gt;Thresholds!$E$1,"STALE","CURRENT")</f>
        <v>CURRENT</v>
      </c>
    </row>
    <row r="137" spans="1:12" x14ac:dyDescent="0.3">
      <c r="A137" s="15" t="str">
        <f>Raw_Data!A137</f>
        <v>P0135</v>
      </c>
      <c r="B137" s="15" t="str">
        <f>Raw_Data!C137</f>
        <v>Zurich Equities</v>
      </c>
      <c r="C137" s="11" t="str">
        <f>IFERROR(INDEX(Thresholds!$A$2:$A$5,MATCH(TRIM(Raw_Data!D137),Thresholds!$A$2:$A$5,0)),"UNMAPPED")</f>
        <v>Equity</v>
      </c>
      <c r="D137" s="16">
        <f>Raw_Data!G137</f>
        <v>4901</v>
      </c>
      <c r="E137" s="17">
        <f>Raw_Data!H137</f>
        <v>148.32</v>
      </c>
      <c r="F137" s="14">
        <f>IF(Raw_Data!I137="","",Raw_Data!I137)</f>
        <v>145.88999999999999</v>
      </c>
      <c r="G137" s="18">
        <f t="shared" si="6"/>
        <v>1.6656384947563281E-2</v>
      </c>
      <c r="H137" s="19">
        <f>IFERROR(INDEX(Thresholds!$B$2:$B$5,MATCH(C137,Thresholds!$A$2:$A$5,0)),"")</f>
        <v>0.01</v>
      </c>
      <c r="I137" s="20">
        <f t="shared" si="7"/>
        <v>11909.430000000033</v>
      </c>
      <c r="J137" s="11" t="str">
        <f t="shared" si="8"/>
        <v>BREACH</v>
      </c>
      <c r="K137" s="11" t="str">
        <f>IF(COUNTIF(Raw_Data!$A$2:A137,Raw_Data!A137)&gt;1,"DUP","UNIQUE")</f>
        <v>UNIQUE</v>
      </c>
      <c r="L137" s="11" t="str">
        <f>IF(Raw_Data!B137&lt;&gt;Thresholds!$E$1,"STALE","CURRENT")</f>
        <v>CURRENT</v>
      </c>
    </row>
    <row r="138" spans="1:12" x14ac:dyDescent="0.3">
      <c r="A138" s="15" t="str">
        <f>Raw_Data!A138</f>
        <v>P0136</v>
      </c>
      <c r="B138" s="15" t="str">
        <f>Raw_Data!C138</f>
        <v>Zurich FX</v>
      </c>
      <c r="C138" s="11" t="str">
        <f>IFERROR(INDEX(Thresholds!$A$2:$A$5,MATCH(TRIM(Raw_Data!D138),Thresholds!$A$2:$A$5,0)),"UNMAPPED")</f>
        <v>FX Forward</v>
      </c>
      <c r="D138" s="16">
        <f>Raw_Data!G138</f>
        <v>2609487</v>
      </c>
      <c r="E138" s="17">
        <f>Raw_Data!H138</f>
        <v>0.67386000000000001</v>
      </c>
      <c r="F138" s="14">
        <f>IF(Raw_Data!I138="","",Raw_Data!I138)</f>
        <v>0.67105000000000004</v>
      </c>
      <c r="G138" s="18">
        <f t="shared" si="6"/>
        <v>4.187467401832917E-3</v>
      </c>
      <c r="H138" s="19">
        <f>IFERROR(INDEX(Thresholds!$B$2:$B$5,MATCH(C138,Thresholds!$A$2:$A$5,0)),"")</f>
        <v>3.0000000000000001E-3</v>
      </c>
      <c r="I138" s="20">
        <f t="shared" si="7"/>
        <v>7332.6584699999457</v>
      </c>
      <c r="J138" s="11" t="str">
        <f t="shared" si="8"/>
        <v>BREACH</v>
      </c>
      <c r="K138" s="11" t="str">
        <f>IF(COUNTIF(Raw_Data!$A$2:A138,Raw_Data!A138)&gt;1,"DUP","UNIQUE")</f>
        <v>UNIQUE</v>
      </c>
      <c r="L138" s="11" t="str">
        <f>IF(Raw_Data!B138&lt;&gt;Thresholds!$E$1,"STALE","CURRENT")</f>
        <v>CURRENT</v>
      </c>
    </row>
    <row r="139" spans="1:12" x14ac:dyDescent="0.3">
      <c r="A139" s="15" t="str">
        <f>Raw_Data!A139</f>
        <v>P0137</v>
      </c>
      <c r="B139" s="15" t="str">
        <f>Raw_Data!C139</f>
        <v>Zurich Equities</v>
      </c>
      <c r="C139" s="11" t="str">
        <f>IFERROR(INDEX(Thresholds!$A$2:$A$5,MATCH(TRIM(Raw_Data!D139),Thresholds!$A$2:$A$5,0)),"UNMAPPED")</f>
        <v>Equity</v>
      </c>
      <c r="D139" s="16">
        <f>Raw_Data!G139</f>
        <v>16143</v>
      </c>
      <c r="E139" s="17">
        <f>Raw_Data!H139</f>
        <v>169.56</v>
      </c>
      <c r="F139" s="14">
        <f>IF(Raw_Data!I139="","",Raw_Data!I139)</f>
        <v>169.86</v>
      </c>
      <c r="G139" s="18">
        <f t="shared" si="6"/>
        <v>-1.7661603673614231E-3</v>
      </c>
      <c r="H139" s="19">
        <f>IFERROR(INDEX(Thresholds!$B$2:$B$5,MATCH(C139,Thresholds!$A$2:$A$5,0)),"")</f>
        <v>0.01</v>
      </c>
      <c r="I139" s="20">
        <f t="shared" si="7"/>
        <v>-4842.9000000001834</v>
      </c>
      <c r="J139" s="11" t="str">
        <f t="shared" si="8"/>
        <v>OK</v>
      </c>
      <c r="K139" s="11" t="str">
        <f>IF(COUNTIF(Raw_Data!$A$2:A139,Raw_Data!A139)&gt;1,"DUP","UNIQUE")</f>
        <v>UNIQUE</v>
      </c>
      <c r="L139" s="11" t="str">
        <f>IF(Raw_Data!B139&lt;&gt;Thresholds!$E$1,"STALE","CURRENT")</f>
        <v>CURRENT</v>
      </c>
    </row>
    <row r="140" spans="1:12" x14ac:dyDescent="0.3">
      <c r="A140" s="15" t="str">
        <f>Raw_Data!A140</f>
        <v>P0138</v>
      </c>
      <c r="B140" s="15" t="str">
        <f>Raw_Data!C140</f>
        <v>London Credit</v>
      </c>
      <c r="C140" s="11" t="str">
        <f>IFERROR(INDEX(Thresholds!$A$2:$A$5,MATCH(TRIM(Raw_Data!D140),Thresholds!$A$2:$A$5,0)),"UNMAPPED")</f>
        <v>Corporate Bond</v>
      </c>
      <c r="D140" s="16">
        <f>Raw_Data!G140</f>
        <v>4542</v>
      </c>
      <c r="E140" s="17">
        <f>Raw_Data!H140</f>
        <v>104.598</v>
      </c>
      <c r="F140" s="14">
        <f>IF(Raw_Data!I140="","",Raw_Data!I140)</f>
        <v>104.959</v>
      </c>
      <c r="G140" s="18">
        <f t="shared" si="6"/>
        <v>-3.4394382568431882E-3</v>
      </c>
      <c r="H140" s="19">
        <f>IFERROR(INDEX(Thresholds!$B$2:$B$5,MATCH(C140,Thresholds!$A$2:$A$5,0)),"")</f>
        <v>5.0000000000000001E-3</v>
      </c>
      <c r="I140" s="20">
        <f t="shared" si="7"/>
        <v>-1639.6620000000191</v>
      </c>
      <c r="J140" s="11" t="str">
        <f t="shared" si="8"/>
        <v>OK</v>
      </c>
      <c r="K140" s="11" t="str">
        <f>IF(COUNTIF(Raw_Data!$A$2:A140,Raw_Data!A140)&gt;1,"DUP","UNIQUE")</f>
        <v>UNIQUE</v>
      </c>
      <c r="L140" s="11" t="str">
        <f>IF(Raw_Data!B140&lt;&gt;Thresholds!$E$1,"STALE","CURRENT")</f>
        <v>CURRENT</v>
      </c>
    </row>
    <row r="141" spans="1:12" x14ac:dyDescent="0.3">
      <c r="A141" s="15" t="str">
        <f>Raw_Data!A141</f>
        <v>P0139</v>
      </c>
      <c r="B141" s="15" t="str">
        <f>Raw_Data!C141</f>
        <v>London Credit</v>
      </c>
      <c r="C141" s="11" t="str">
        <f>IFERROR(INDEX(Thresholds!$A$2:$A$5,MATCH(TRIM(Raw_Data!D141),Thresholds!$A$2:$A$5,0)),"UNMAPPED")</f>
        <v>Corporate Bond</v>
      </c>
      <c r="D141" s="16">
        <f>Raw_Data!G141</f>
        <v>9396</v>
      </c>
      <c r="E141" s="17">
        <f>Raw_Data!H141</f>
        <v>99.441000000000003</v>
      </c>
      <c r="F141" s="14">
        <f>IF(Raw_Data!I141="","",Raw_Data!I141)</f>
        <v>99.161000000000001</v>
      </c>
      <c r="G141" s="18">
        <f t="shared" si="6"/>
        <v>2.823690765522747E-3</v>
      </c>
      <c r="H141" s="19">
        <f>IFERROR(INDEX(Thresholds!$B$2:$B$5,MATCH(C141,Thresholds!$A$2:$A$5,0)),"")</f>
        <v>5.0000000000000001E-3</v>
      </c>
      <c r="I141" s="20">
        <f t="shared" si="7"/>
        <v>2630.8800000000106</v>
      </c>
      <c r="J141" s="11" t="str">
        <f t="shared" si="8"/>
        <v>OK</v>
      </c>
      <c r="K141" s="11" t="str">
        <f>IF(COUNTIF(Raw_Data!$A$2:A141,Raw_Data!A141)&gt;1,"DUP","UNIQUE")</f>
        <v>UNIQUE</v>
      </c>
      <c r="L141" s="11" t="str">
        <f>IF(Raw_Data!B141&lt;&gt;Thresholds!$E$1,"STALE","CURRENT")</f>
        <v>CURRENT</v>
      </c>
    </row>
    <row r="142" spans="1:12" x14ac:dyDescent="0.3">
      <c r="A142" s="15" t="str">
        <f>Raw_Data!A142</f>
        <v>P0140</v>
      </c>
      <c r="B142" s="15" t="str">
        <f>Raw_Data!C142</f>
        <v>New York Rates</v>
      </c>
      <c r="C142" s="11" t="str">
        <f>IFERROR(INDEX(Thresholds!$A$2:$A$5,MATCH(TRIM(Raw_Data!D142),Thresholds!$A$2:$A$5,0)),"UNMAPPED")</f>
        <v>Government Bond</v>
      </c>
      <c r="D142" s="16">
        <f>Raw_Data!G142</f>
        <v>14764</v>
      </c>
      <c r="E142" s="17">
        <f>Raw_Data!H142</f>
        <v>96.100999999999999</v>
      </c>
      <c r="F142" s="14">
        <f>IF(Raw_Data!I142="","",Raw_Data!I142)</f>
        <v>96.061000000000007</v>
      </c>
      <c r="G142" s="18">
        <f t="shared" si="6"/>
        <v>4.1640207784628559E-4</v>
      </c>
      <c r="H142" s="19">
        <f>IFERROR(INDEX(Thresholds!$B$2:$B$5,MATCH(C142,Thresholds!$A$2:$A$5,0)),"")</f>
        <v>2.5000000000000001E-3</v>
      </c>
      <c r="I142" s="20">
        <f t="shared" si="7"/>
        <v>590.55999999988251</v>
      </c>
      <c r="J142" s="11" t="str">
        <f t="shared" si="8"/>
        <v>OK</v>
      </c>
      <c r="K142" s="11" t="str">
        <f>IF(COUNTIF(Raw_Data!$A$2:A142,Raw_Data!A142)&gt;1,"DUP","UNIQUE")</f>
        <v>UNIQUE</v>
      </c>
      <c r="L142" s="11" t="str">
        <f>IF(Raw_Data!B142&lt;&gt;Thresholds!$E$1,"STALE","CURRENT")</f>
        <v>CURRENT</v>
      </c>
    </row>
    <row r="143" spans="1:12" x14ac:dyDescent="0.3">
      <c r="A143" s="15" t="str">
        <f>Raw_Data!A143</f>
        <v>P0141</v>
      </c>
      <c r="B143" s="15" t="str">
        <f>Raw_Data!C143</f>
        <v>New York Credit</v>
      </c>
      <c r="C143" s="11" t="str">
        <f>IFERROR(INDEX(Thresholds!$A$2:$A$5,MATCH(TRIM(Raw_Data!D143),Thresholds!$A$2:$A$5,0)),"UNMAPPED")</f>
        <v>Corporate Bond</v>
      </c>
      <c r="D143" s="16">
        <f>Raw_Data!G143</f>
        <v>16083</v>
      </c>
      <c r="E143" s="17">
        <f>Raw_Data!H143</f>
        <v>105.955</v>
      </c>
      <c r="F143" s="14">
        <f>IF(Raw_Data!I143="","",Raw_Data!I143)</f>
        <v>105.837</v>
      </c>
      <c r="G143" s="18">
        <f t="shared" si="6"/>
        <v>1.1149220027022212E-3</v>
      </c>
      <c r="H143" s="19">
        <f>IFERROR(INDEX(Thresholds!$B$2:$B$5,MATCH(C143,Thresholds!$A$2:$A$5,0)),"")</f>
        <v>5.0000000000000001E-3</v>
      </c>
      <c r="I143" s="20">
        <f t="shared" si="7"/>
        <v>1897.7939999999196</v>
      </c>
      <c r="J143" s="11" t="str">
        <f t="shared" si="8"/>
        <v>OK</v>
      </c>
      <c r="K143" s="11" t="str">
        <f>IF(COUNTIF(Raw_Data!$A$2:A143,Raw_Data!A143)&gt;1,"DUP","UNIQUE")</f>
        <v>UNIQUE</v>
      </c>
      <c r="L143" s="11" t="str">
        <f>IF(Raw_Data!B143&lt;&gt;Thresholds!$E$1,"STALE","CURRENT")</f>
        <v>CURRENT</v>
      </c>
    </row>
    <row r="144" spans="1:12" x14ac:dyDescent="0.3">
      <c r="A144" s="15" t="str">
        <f>Raw_Data!A144</f>
        <v>P0142</v>
      </c>
      <c r="B144" s="15" t="str">
        <f>Raw_Data!C144</f>
        <v>London Rates</v>
      </c>
      <c r="C144" s="11" t="str">
        <f>IFERROR(INDEX(Thresholds!$A$2:$A$5,MATCH(TRIM(Raw_Data!D144),Thresholds!$A$2:$A$5,0)),"UNMAPPED")</f>
        <v>Government Bond</v>
      </c>
      <c r="D144" s="16">
        <f>Raw_Data!G144</f>
        <v>9465</v>
      </c>
      <c r="E144" s="17">
        <f>Raw_Data!H144</f>
        <v>98.838999999999999</v>
      </c>
      <c r="F144" s="14">
        <f>IF(Raw_Data!I144="","",Raw_Data!I144)</f>
        <v>98.835999999999999</v>
      </c>
      <c r="G144" s="18">
        <f t="shared" si="6"/>
        <v>3.0353312558178333E-5</v>
      </c>
      <c r="H144" s="19">
        <f>IFERROR(INDEX(Thresholds!$B$2:$B$5,MATCH(C144,Thresholds!$A$2:$A$5,0)),"")</f>
        <v>2.5000000000000001E-3</v>
      </c>
      <c r="I144" s="20">
        <f t="shared" si="7"/>
        <v>28.395000000001076</v>
      </c>
      <c r="J144" s="11" t="str">
        <f t="shared" si="8"/>
        <v>OK</v>
      </c>
      <c r="K144" s="11" t="str">
        <f>IF(COUNTIF(Raw_Data!$A$2:A144,Raw_Data!A144)&gt;1,"DUP","UNIQUE")</f>
        <v>UNIQUE</v>
      </c>
      <c r="L144" s="11" t="str">
        <f>IF(Raw_Data!B144&lt;&gt;Thresholds!$E$1,"STALE","CURRENT")</f>
        <v>CURRENT</v>
      </c>
    </row>
    <row r="145" spans="1:12" x14ac:dyDescent="0.3">
      <c r="A145" s="15" t="str">
        <f>Raw_Data!A145</f>
        <v>P0143</v>
      </c>
      <c r="B145" s="15" t="str">
        <f>Raw_Data!C145</f>
        <v>London Rates</v>
      </c>
      <c r="C145" s="11" t="str">
        <f>IFERROR(INDEX(Thresholds!$A$2:$A$5,MATCH(TRIM(Raw_Data!D145),Thresholds!$A$2:$A$5,0)),"UNMAPPED")</f>
        <v>Government Bond</v>
      </c>
      <c r="D145" s="16">
        <f>Raw_Data!G145</f>
        <v>2756</v>
      </c>
      <c r="E145" s="17">
        <f>Raw_Data!H145</f>
        <v>102.577</v>
      </c>
      <c r="F145" s="14">
        <f>IF(Raw_Data!I145="","",Raw_Data!I145)</f>
        <v>102.61</v>
      </c>
      <c r="G145" s="18">
        <f t="shared" si="6"/>
        <v>-3.2160608127864001E-4</v>
      </c>
      <c r="H145" s="19">
        <f>IFERROR(INDEX(Thresholds!$B$2:$B$5,MATCH(C145,Thresholds!$A$2:$A$5,0)),"")</f>
        <v>2.5000000000000001E-3</v>
      </c>
      <c r="I145" s="20">
        <f t="shared" si="7"/>
        <v>-90.948000000003447</v>
      </c>
      <c r="J145" s="11" t="str">
        <f t="shared" si="8"/>
        <v>OK</v>
      </c>
      <c r="K145" s="11" t="str">
        <f>IF(COUNTIF(Raw_Data!$A$2:A145,Raw_Data!A145)&gt;1,"DUP","UNIQUE")</f>
        <v>UNIQUE</v>
      </c>
      <c r="L145" s="11" t="str">
        <f>IF(Raw_Data!B145&lt;&gt;Thresholds!$E$1,"STALE","CURRENT")</f>
        <v>CURRENT</v>
      </c>
    </row>
    <row r="146" spans="1:12" x14ac:dyDescent="0.3">
      <c r="A146" s="15" t="str">
        <f>Raw_Data!A146</f>
        <v>P0144</v>
      </c>
      <c r="B146" s="15" t="str">
        <f>Raw_Data!C146</f>
        <v>London Credit</v>
      </c>
      <c r="C146" s="11" t="str">
        <f>IFERROR(INDEX(Thresholds!$A$2:$A$5,MATCH(TRIM(Raw_Data!D146),Thresholds!$A$2:$A$5,0)),"UNMAPPED")</f>
        <v>Corporate Bond</v>
      </c>
      <c r="D146" s="16">
        <f>Raw_Data!G146</f>
        <v>2514</v>
      </c>
      <c r="E146" s="17">
        <f>Raw_Data!H146</f>
        <v>94.358000000000004</v>
      </c>
      <c r="F146" s="14">
        <f>IF(Raw_Data!I146="","",Raw_Data!I146)</f>
        <v>94.712000000000003</v>
      </c>
      <c r="G146" s="18">
        <f t="shared" si="6"/>
        <v>-3.7376467607061321E-3</v>
      </c>
      <c r="H146" s="19">
        <f>IFERROR(INDEX(Thresholds!$B$2:$B$5,MATCH(C146,Thresholds!$A$2:$A$5,0)),"")</f>
        <v>5.0000000000000001E-3</v>
      </c>
      <c r="I146" s="20">
        <f t="shared" si="7"/>
        <v>-889.95599999999797</v>
      </c>
      <c r="J146" s="11" t="str">
        <f t="shared" si="8"/>
        <v>OK</v>
      </c>
      <c r="K146" s="11" t="str">
        <f>IF(COUNTIF(Raw_Data!$A$2:A146,Raw_Data!A146)&gt;1,"DUP","UNIQUE")</f>
        <v>UNIQUE</v>
      </c>
      <c r="L146" s="11" t="str">
        <f>IF(Raw_Data!B146&lt;&gt;Thresholds!$E$1,"STALE","CURRENT")</f>
        <v>CURRENT</v>
      </c>
    </row>
    <row r="147" spans="1:12" x14ac:dyDescent="0.3">
      <c r="A147" s="15" t="str">
        <f>Raw_Data!A147</f>
        <v>P0145</v>
      </c>
      <c r="B147" s="15" t="str">
        <f>Raw_Data!C147</f>
        <v>Singapore Equities</v>
      </c>
      <c r="C147" s="11" t="str">
        <f>IFERROR(INDEX(Thresholds!$A$2:$A$5,MATCH(TRIM(Raw_Data!D147),Thresholds!$A$2:$A$5,0)),"UNMAPPED")</f>
        <v>Equity</v>
      </c>
      <c r="D147" s="16">
        <f>Raw_Data!G147</f>
        <v>14108</v>
      </c>
      <c r="E147" s="17">
        <f>Raw_Data!H147</f>
        <v>155.97999999999999</v>
      </c>
      <c r="F147" s="14">
        <f>IF(Raw_Data!I147="","",Raw_Data!I147)</f>
        <v>156.66</v>
      </c>
      <c r="G147" s="18">
        <f t="shared" si="6"/>
        <v>-4.3406102387336066E-3</v>
      </c>
      <c r="H147" s="19">
        <f>IFERROR(INDEX(Thresholds!$B$2:$B$5,MATCH(C147,Thresholds!$A$2:$A$5,0)),"")</f>
        <v>0.01</v>
      </c>
      <c r="I147" s="20">
        <f t="shared" si="7"/>
        <v>-9593.4400000000969</v>
      </c>
      <c r="J147" s="11" t="str">
        <f t="shared" si="8"/>
        <v>OK</v>
      </c>
      <c r="K147" s="11" t="str">
        <f>IF(COUNTIF(Raw_Data!$A$2:A147,Raw_Data!A147)&gt;1,"DUP","UNIQUE")</f>
        <v>UNIQUE</v>
      </c>
      <c r="L147" s="11" t="str">
        <f>IF(Raw_Data!B147&lt;&gt;Thresholds!$E$1,"STALE","CURRENT")</f>
        <v>CURRENT</v>
      </c>
    </row>
    <row r="148" spans="1:12" x14ac:dyDescent="0.3">
      <c r="A148" s="15" t="str">
        <f>Raw_Data!A148</f>
        <v>P0146</v>
      </c>
      <c r="B148" s="15" t="str">
        <f>Raw_Data!C148</f>
        <v>New York Rates</v>
      </c>
      <c r="C148" s="11" t="str">
        <f>IFERROR(INDEX(Thresholds!$A$2:$A$5,MATCH(TRIM(Raw_Data!D148),Thresholds!$A$2:$A$5,0)),"UNMAPPED")</f>
        <v>Government Bond</v>
      </c>
      <c r="D148" s="16">
        <f>Raw_Data!G148</f>
        <v>2683</v>
      </c>
      <c r="E148" s="17">
        <f>Raw_Data!H148</f>
        <v>99.754999999999995</v>
      </c>
      <c r="F148" s="14">
        <f>IF(Raw_Data!I148="","",Raw_Data!I148)</f>
        <v>99.813999999999993</v>
      </c>
      <c r="G148" s="18">
        <f t="shared" si="6"/>
        <v>-5.9109944496761482E-4</v>
      </c>
      <c r="H148" s="19">
        <f>IFERROR(INDEX(Thresholds!$B$2:$B$5,MATCH(C148,Thresholds!$A$2:$A$5,0)),"")</f>
        <v>2.5000000000000001E-3</v>
      </c>
      <c r="I148" s="20">
        <f t="shared" si="7"/>
        <v>-158.29699999999329</v>
      </c>
      <c r="J148" s="11" t="str">
        <f t="shared" si="8"/>
        <v>OK</v>
      </c>
      <c r="K148" s="11" t="str">
        <f>IF(COUNTIF(Raw_Data!$A$2:A148,Raw_Data!A148)&gt;1,"DUP","UNIQUE")</f>
        <v>UNIQUE</v>
      </c>
      <c r="L148" s="11" t="str">
        <f>IF(Raw_Data!B148&lt;&gt;Thresholds!$E$1,"STALE","CURRENT")</f>
        <v>CURRENT</v>
      </c>
    </row>
    <row r="149" spans="1:12" x14ac:dyDescent="0.3">
      <c r="A149" s="15" t="str">
        <f>Raw_Data!A149</f>
        <v>P0147</v>
      </c>
      <c r="B149" s="15" t="str">
        <f>Raw_Data!C149</f>
        <v>Singapore FX</v>
      </c>
      <c r="C149" s="11" t="str">
        <f>IFERROR(INDEX(Thresholds!$A$2:$A$5,MATCH(TRIM(Raw_Data!D149),Thresholds!$A$2:$A$5,0)),"UNMAPPED")</f>
        <v>FX Forward</v>
      </c>
      <c r="D149" s="16">
        <f>Raw_Data!G149</f>
        <v>2030372</v>
      </c>
      <c r="E149" s="17">
        <f>Raw_Data!H149</f>
        <v>1.4328399999999999</v>
      </c>
      <c r="F149" s="14">
        <f>IF(Raw_Data!I149="","",Raw_Data!I149)</f>
        <v>1.4298</v>
      </c>
      <c r="G149" s="18">
        <f t="shared" si="6"/>
        <v>2.126171492516388E-3</v>
      </c>
      <c r="H149" s="19">
        <f>IFERROR(INDEX(Thresholds!$B$2:$B$5,MATCH(C149,Thresholds!$A$2:$A$5,0)),"")</f>
        <v>3.0000000000000001E-3</v>
      </c>
      <c r="I149" s="20">
        <f t="shared" si="7"/>
        <v>6172.3308799998613</v>
      </c>
      <c r="J149" s="11" t="str">
        <f t="shared" si="8"/>
        <v>OK</v>
      </c>
      <c r="K149" s="11" t="str">
        <f>IF(COUNTIF(Raw_Data!$A$2:A149,Raw_Data!A149)&gt;1,"DUP","UNIQUE")</f>
        <v>UNIQUE</v>
      </c>
      <c r="L149" s="11" t="str">
        <f>IF(Raw_Data!B149&lt;&gt;Thresholds!$E$1,"STALE","CURRENT")</f>
        <v>CURRENT</v>
      </c>
    </row>
    <row r="150" spans="1:12" x14ac:dyDescent="0.3">
      <c r="A150" s="15" t="str">
        <f>Raw_Data!A150</f>
        <v>P0148</v>
      </c>
      <c r="B150" s="15" t="str">
        <f>Raw_Data!C150</f>
        <v>Zurich Equities</v>
      </c>
      <c r="C150" s="11" t="str">
        <f>IFERROR(INDEX(Thresholds!$A$2:$A$5,MATCH(TRIM(Raw_Data!D150),Thresholds!$A$2:$A$5,0)),"UNMAPPED")</f>
        <v>Equity</v>
      </c>
      <c r="D150" s="16">
        <f>Raw_Data!G150</f>
        <v>8780</v>
      </c>
      <c r="E150" s="17">
        <f>Raw_Data!H150</f>
        <v>161.65</v>
      </c>
      <c r="F150" s="14" t="str">
        <f>IF(Raw_Data!I150="","",Raw_Data!I150)</f>
        <v/>
      </c>
      <c r="G150" s="18" t="str">
        <f t="shared" si="6"/>
        <v/>
      </c>
      <c r="H150" s="19">
        <f>IFERROR(INDEX(Thresholds!$B$2:$B$5,MATCH(C150,Thresholds!$A$2:$A$5,0)),"")</f>
        <v>0.01</v>
      </c>
      <c r="I150" s="20" t="str">
        <f t="shared" si="7"/>
        <v/>
      </c>
      <c r="J150" s="11" t="str">
        <f t="shared" si="8"/>
        <v>NO INDEPENDENT PRICE</v>
      </c>
      <c r="K150" s="11" t="str">
        <f>IF(COUNTIF(Raw_Data!$A$2:A150,Raw_Data!A150)&gt;1,"DUP","UNIQUE")</f>
        <v>UNIQUE</v>
      </c>
      <c r="L150" s="11" t="str">
        <f>IF(Raw_Data!B150&lt;&gt;Thresholds!$E$1,"STALE","CURRENT")</f>
        <v>CURRENT</v>
      </c>
    </row>
    <row r="151" spans="1:12" x14ac:dyDescent="0.3">
      <c r="A151" s="15" t="str">
        <f>Raw_Data!A151</f>
        <v>P0149</v>
      </c>
      <c r="B151" s="15" t="str">
        <f>Raw_Data!C151</f>
        <v>New York Rates</v>
      </c>
      <c r="C151" s="11" t="str">
        <f>IFERROR(INDEX(Thresholds!$A$2:$A$5,MATCH(TRIM(Raw_Data!D151),Thresholds!$A$2:$A$5,0)),"UNMAPPED")</f>
        <v>Government Bond</v>
      </c>
      <c r="D151" s="16">
        <f>Raw_Data!G151</f>
        <v>11339</v>
      </c>
      <c r="E151" s="17">
        <f>Raw_Data!H151</f>
        <v>98.453000000000003</v>
      </c>
      <c r="F151" s="14">
        <f>IF(Raw_Data!I151="","",Raw_Data!I151)</f>
        <v>98.433999999999997</v>
      </c>
      <c r="G151" s="18">
        <f t="shared" si="6"/>
        <v>1.9302273604654345E-4</v>
      </c>
      <c r="H151" s="19">
        <f>IFERROR(INDEX(Thresholds!$B$2:$B$5,MATCH(C151,Thresholds!$A$2:$A$5,0)),"")</f>
        <v>2.5000000000000001E-3</v>
      </c>
      <c r="I151" s="20">
        <f t="shared" si="7"/>
        <v>215.44100000006188</v>
      </c>
      <c r="J151" s="11" t="str">
        <f t="shared" si="8"/>
        <v>OK</v>
      </c>
      <c r="K151" s="11" t="str">
        <f>IF(COUNTIF(Raw_Data!$A$2:A151,Raw_Data!A151)&gt;1,"DUP","UNIQUE")</f>
        <v>UNIQUE</v>
      </c>
      <c r="L151" s="11" t="str">
        <f>IF(Raw_Data!B151&lt;&gt;Thresholds!$E$1,"STALE","CURRENT")</f>
        <v>CURRENT</v>
      </c>
    </row>
    <row r="152" spans="1:12" x14ac:dyDescent="0.3">
      <c r="A152" s="15" t="str">
        <f>Raw_Data!A152</f>
        <v>P0150</v>
      </c>
      <c r="B152" s="15" t="str">
        <f>Raw_Data!C152</f>
        <v>New York Credit</v>
      </c>
      <c r="C152" s="11" t="str">
        <f>IFERROR(INDEX(Thresholds!$A$2:$A$5,MATCH(TRIM(Raw_Data!D152),Thresholds!$A$2:$A$5,0)),"UNMAPPED")</f>
        <v>Corporate Bond</v>
      </c>
      <c r="D152" s="16">
        <f>Raw_Data!G152</f>
        <v>10362</v>
      </c>
      <c r="E152" s="17">
        <f>Raw_Data!H152</f>
        <v>93.24</v>
      </c>
      <c r="F152" s="14">
        <f>IF(Raw_Data!I152="","",Raw_Data!I152)</f>
        <v>93.284000000000006</v>
      </c>
      <c r="G152" s="18">
        <f t="shared" si="6"/>
        <v>-4.7167788688318618E-4</v>
      </c>
      <c r="H152" s="19">
        <f>IFERROR(INDEX(Thresholds!$B$2:$B$5,MATCH(C152,Thresholds!$A$2:$A$5,0)),"")</f>
        <v>5.0000000000000001E-3</v>
      </c>
      <c r="I152" s="20">
        <f t="shared" si="7"/>
        <v>-455.92800000011545</v>
      </c>
      <c r="J152" s="11" t="str">
        <f t="shared" si="8"/>
        <v>OK</v>
      </c>
      <c r="K152" s="11" t="str">
        <f>IF(COUNTIF(Raw_Data!$A$2:A152,Raw_Data!A152)&gt;1,"DUP","UNIQUE")</f>
        <v>UNIQUE</v>
      </c>
      <c r="L152" s="11" t="str">
        <f>IF(Raw_Data!B152&lt;&gt;Thresholds!$E$1,"STALE","CURRENT")</f>
        <v>CURRENT</v>
      </c>
    </row>
    <row r="153" spans="1:12" x14ac:dyDescent="0.3">
      <c r="A153" s="15" t="str">
        <f>Raw_Data!A153</f>
        <v>P0151</v>
      </c>
      <c r="B153" s="15" t="str">
        <f>Raw_Data!C153</f>
        <v>Zurich Equities</v>
      </c>
      <c r="C153" s="11" t="str">
        <f>IFERROR(INDEX(Thresholds!$A$2:$A$5,MATCH(TRIM(Raw_Data!D153),Thresholds!$A$2:$A$5,0)),"UNMAPPED")</f>
        <v>Equity</v>
      </c>
      <c r="D153" s="16">
        <f>Raw_Data!G153</f>
        <v>27766</v>
      </c>
      <c r="E153" s="17">
        <f>Raw_Data!H153</f>
        <v>241.78</v>
      </c>
      <c r="F153" s="14">
        <f>IF(Raw_Data!I153="","",Raw_Data!I153)</f>
        <v>241.61</v>
      </c>
      <c r="G153" s="18">
        <f t="shared" si="6"/>
        <v>7.0361326104046806E-4</v>
      </c>
      <c r="H153" s="19">
        <f>IFERROR(INDEX(Thresholds!$B$2:$B$5,MATCH(C153,Thresholds!$A$2:$A$5,0)),"")</f>
        <v>0.01</v>
      </c>
      <c r="I153" s="20">
        <f t="shared" si="7"/>
        <v>4720.2199999996528</v>
      </c>
      <c r="J153" s="11" t="str">
        <f t="shared" si="8"/>
        <v>OK</v>
      </c>
      <c r="K153" s="11" t="str">
        <f>IF(COUNTIF(Raw_Data!$A$2:A153,Raw_Data!A153)&gt;1,"DUP","UNIQUE")</f>
        <v>UNIQUE</v>
      </c>
      <c r="L153" s="11" t="str">
        <f>IF(Raw_Data!B153&lt;&gt;Thresholds!$E$1,"STALE","CURRENT")</f>
        <v>CURRENT</v>
      </c>
    </row>
    <row r="154" spans="1:12" x14ac:dyDescent="0.3">
      <c r="A154" s="15" t="str">
        <f>Raw_Data!A154</f>
        <v>P0152</v>
      </c>
      <c r="B154" s="15" t="str">
        <f>Raw_Data!C154</f>
        <v>Zurich FX</v>
      </c>
      <c r="C154" s="11" t="str">
        <f>IFERROR(INDEX(Thresholds!$A$2:$A$5,MATCH(TRIM(Raw_Data!D154),Thresholds!$A$2:$A$5,0)),"UNMAPPED")</f>
        <v>FX Forward</v>
      </c>
      <c r="D154" s="16">
        <f>Raw_Data!G154</f>
        <v>2120226</v>
      </c>
      <c r="E154" s="17">
        <f>Raw_Data!H154</f>
        <v>0.76998</v>
      </c>
      <c r="F154" s="14">
        <f>IF(Raw_Data!I154="","",Raw_Data!I154)</f>
        <v>0.76793</v>
      </c>
      <c r="G154" s="18">
        <f t="shared" si="6"/>
        <v>2.6695141484249819E-3</v>
      </c>
      <c r="H154" s="19">
        <f>IFERROR(INDEX(Thresholds!$B$2:$B$5,MATCH(C154,Thresholds!$A$2:$A$5,0)),"")</f>
        <v>3.0000000000000001E-3</v>
      </c>
      <c r="I154" s="20">
        <f t="shared" si="7"/>
        <v>4346.4632999999922</v>
      </c>
      <c r="J154" s="11" t="str">
        <f t="shared" si="8"/>
        <v>OK</v>
      </c>
      <c r="K154" s="11" t="str">
        <f>IF(COUNTIF(Raw_Data!$A$2:A154,Raw_Data!A154)&gt;1,"DUP","UNIQUE")</f>
        <v>UNIQUE</v>
      </c>
      <c r="L154" s="11" t="str">
        <f>IF(Raw_Data!B154&lt;&gt;Thresholds!$E$1,"STALE","CURRENT")</f>
        <v>CURRENT</v>
      </c>
    </row>
    <row r="155" spans="1:12" x14ac:dyDescent="0.3">
      <c r="A155" s="15" t="str">
        <f>Raw_Data!A155</f>
        <v>P0153</v>
      </c>
      <c r="B155" s="15" t="str">
        <f>Raw_Data!C155</f>
        <v>Zurich Equities</v>
      </c>
      <c r="C155" s="11" t="str">
        <f>IFERROR(INDEX(Thresholds!$A$2:$A$5,MATCH(TRIM(Raw_Data!D155),Thresholds!$A$2:$A$5,0)),"UNMAPPED")</f>
        <v>Equity</v>
      </c>
      <c r="D155" s="16">
        <f>Raw_Data!G155</f>
        <v>26248</v>
      </c>
      <c r="E155" s="17">
        <f>Raw_Data!H155</f>
        <v>219.63</v>
      </c>
      <c r="F155" s="14">
        <f>IF(Raw_Data!I155="","",Raw_Data!I155)</f>
        <v>220.46</v>
      </c>
      <c r="G155" s="18">
        <f t="shared" si="6"/>
        <v>-3.7648553025492718E-3</v>
      </c>
      <c r="H155" s="19">
        <f>IFERROR(INDEX(Thresholds!$B$2:$B$5,MATCH(C155,Thresholds!$A$2:$A$5,0)),"")</f>
        <v>0.01</v>
      </c>
      <c r="I155" s="20">
        <f t="shared" si="7"/>
        <v>-21785.840000000328</v>
      </c>
      <c r="J155" s="11" t="str">
        <f t="shared" si="8"/>
        <v>OK</v>
      </c>
      <c r="K155" s="11" t="str">
        <f>IF(COUNTIF(Raw_Data!$A$2:A155,Raw_Data!A155)&gt;1,"DUP","UNIQUE")</f>
        <v>UNIQUE</v>
      </c>
      <c r="L155" s="11" t="str">
        <f>IF(Raw_Data!B155&lt;&gt;Thresholds!$E$1,"STALE","CURRENT")</f>
        <v>CURRENT</v>
      </c>
    </row>
    <row r="156" spans="1:12" x14ac:dyDescent="0.3">
      <c r="A156" s="15" t="str">
        <f>Raw_Data!A156</f>
        <v>P0154</v>
      </c>
      <c r="B156" s="15" t="str">
        <f>Raw_Data!C156</f>
        <v>London Rates</v>
      </c>
      <c r="C156" s="11" t="str">
        <f>IFERROR(INDEX(Thresholds!$A$2:$A$5,MATCH(TRIM(Raw_Data!D156),Thresholds!$A$2:$A$5,0)),"UNMAPPED")</f>
        <v>Government Bond</v>
      </c>
      <c r="D156" s="16">
        <f>Raw_Data!G156</f>
        <v>10882</v>
      </c>
      <c r="E156" s="17">
        <f>Raw_Data!H156</f>
        <v>100.73699999999999</v>
      </c>
      <c r="F156" s="14" t="str">
        <f>IF(Raw_Data!I156="","",Raw_Data!I156)</f>
        <v/>
      </c>
      <c r="G156" s="18" t="str">
        <f t="shared" si="6"/>
        <v/>
      </c>
      <c r="H156" s="19">
        <f>IFERROR(INDEX(Thresholds!$B$2:$B$5,MATCH(C156,Thresholds!$A$2:$A$5,0)),"")</f>
        <v>2.5000000000000001E-3</v>
      </c>
      <c r="I156" s="20" t="str">
        <f t="shared" si="7"/>
        <v/>
      </c>
      <c r="J156" s="11" t="str">
        <f t="shared" si="8"/>
        <v>NO INDEPENDENT PRICE</v>
      </c>
      <c r="K156" s="11" t="str">
        <f>IF(COUNTIF(Raw_Data!$A$2:A156,Raw_Data!A156)&gt;1,"DUP","UNIQUE")</f>
        <v>UNIQUE</v>
      </c>
      <c r="L156" s="11" t="str">
        <f>IF(Raw_Data!B156&lt;&gt;Thresholds!$E$1,"STALE","CURRENT")</f>
        <v>CURRENT</v>
      </c>
    </row>
    <row r="157" spans="1:12" x14ac:dyDescent="0.3">
      <c r="A157" s="15" t="str">
        <f>Raw_Data!A157</f>
        <v>P0155</v>
      </c>
      <c r="B157" s="15" t="str">
        <f>Raw_Data!C157</f>
        <v>London Credit</v>
      </c>
      <c r="C157" s="11" t="str">
        <f>IFERROR(INDEX(Thresholds!$A$2:$A$5,MATCH(TRIM(Raw_Data!D157),Thresholds!$A$2:$A$5,0)),"UNMAPPED")</f>
        <v>Corporate Bond</v>
      </c>
      <c r="D157" s="16">
        <f>Raw_Data!G157</f>
        <v>10861</v>
      </c>
      <c r="E157" s="17">
        <f>Raw_Data!H157</f>
        <v>101.848</v>
      </c>
      <c r="F157" s="14">
        <f>IF(Raw_Data!I157="","",Raw_Data!I157)</f>
        <v>101.904</v>
      </c>
      <c r="G157" s="18">
        <f t="shared" si="6"/>
        <v>-5.4953681896684518E-4</v>
      </c>
      <c r="H157" s="19">
        <f>IFERROR(INDEX(Thresholds!$B$2:$B$5,MATCH(C157,Thresholds!$A$2:$A$5,0)),"")</f>
        <v>5.0000000000000001E-3</v>
      </c>
      <c r="I157" s="20">
        <f t="shared" si="7"/>
        <v>-608.21599999997159</v>
      </c>
      <c r="J157" s="11" t="str">
        <f t="shared" si="8"/>
        <v>OK</v>
      </c>
      <c r="K157" s="11" t="str">
        <f>IF(COUNTIF(Raw_Data!$A$2:A157,Raw_Data!A157)&gt;1,"DUP","UNIQUE")</f>
        <v>UNIQUE</v>
      </c>
      <c r="L157" s="11" t="str">
        <f>IF(Raw_Data!B157&lt;&gt;Thresholds!$E$1,"STALE","CURRENT")</f>
        <v>CURRENT</v>
      </c>
    </row>
    <row r="158" spans="1:12" x14ac:dyDescent="0.3">
      <c r="A158" s="15" t="str">
        <f>Raw_Data!A158</f>
        <v>P0156</v>
      </c>
      <c r="B158" s="15" t="str">
        <f>Raw_Data!C158</f>
        <v>Zurich FX</v>
      </c>
      <c r="C158" s="11" t="str">
        <f>IFERROR(INDEX(Thresholds!$A$2:$A$5,MATCH(TRIM(Raw_Data!D158),Thresholds!$A$2:$A$5,0)),"UNMAPPED")</f>
        <v>FX Forward</v>
      </c>
      <c r="D158" s="16">
        <f>Raw_Data!G158</f>
        <v>3740416</v>
      </c>
      <c r="E158" s="17">
        <f>Raw_Data!H158</f>
        <v>1.34677</v>
      </c>
      <c r="F158" s="14">
        <f>IF(Raw_Data!I158="","",Raw_Data!I158)</f>
        <v>1.34372</v>
      </c>
      <c r="G158" s="18">
        <f t="shared" si="6"/>
        <v>2.2698181168695837E-3</v>
      </c>
      <c r="H158" s="19">
        <f>IFERROR(INDEX(Thresholds!$B$2:$B$5,MATCH(C158,Thresholds!$A$2:$A$5,0)),"")</f>
        <v>3.0000000000000001E-3</v>
      </c>
      <c r="I158" s="20">
        <f t="shared" si="7"/>
        <v>11408.268799999989</v>
      </c>
      <c r="J158" s="11" t="str">
        <f t="shared" si="8"/>
        <v>OK</v>
      </c>
      <c r="K158" s="11" t="str">
        <f>IF(COUNTIF(Raw_Data!$A$2:A158,Raw_Data!A158)&gt;1,"DUP","UNIQUE")</f>
        <v>UNIQUE</v>
      </c>
      <c r="L158" s="11" t="str">
        <f>IF(Raw_Data!B158&lt;&gt;Thresholds!$E$1,"STALE","CURRENT")</f>
        <v>CURRENT</v>
      </c>
    </row>
    <row r="159" spans="1:12" x14ac:dyDescent="0.3">
      <c r="A159" s="15" t="str">
        <f>Raw_Data!A159</f>
        <v>P0157</v>
      </c>
      <c r="B159" s="15" t="str">
        <f>Raw_Data!C159</f>
        <v>New York Rates</v>
      </c>
      <c r="C159" s="11" t="str">
        <f>IFERROR(INDEX(Thresholds!$A$2:$A$5,MATCH(TRIM(Raw_Data!D159),Thresholds!$A$2:$A$5,0)),"UNMAPPED")</f>
        <v>Government Bond</v>
      </c>
      <c r="D159" s="16">
        <f>Raw_Data!G159</f>
        <v>17180</v>
      </c>
      <c r="E159" s="17">
        <f>Raw_Data!H159</f>
        <v>100.004</v>
      </c>
      <c r="F159" s="14">
        <f>IF(Raw_Data!I159="","",Raw_Data!I159)</f>
        <v>99.986999999999995</v>
      </c>
      <c r="G159" s="18">
        <f t="shared" si="6"/>
        <v>1.7002210287347475E-4</v>
      </c>
      <c r="H159" s="19">
        <f>IFERROR(INDEX(Thresholds!$B$2:$B$5,MATCH(C159,Thresholds!$A$2:$A$5,0)),"")</f>
        <v>2.5000000000000001E-3</v>
      </c>
      <c r="I159" s="20">
        <f t="shared" si="7"/>
        <v>292.06000000017383</v>
      </c>
      <c r="J159" s="11" t="str">
        <f t="shared" si="8"/>
        <v>OK</v>
      </c>
      <c r="K159" s="11" t="str">
        <f>IF(COUNTIF(Raw_Data!$A$2:A159,Raw_Data!A159)&gt;1,"DUP","UNIQUE")</f>
        <v>UNIQUE</v>
      </c>
      <c r="L159" s="11" t="str">
        <f>IF(Raw_Data!B159&lt;&gt;Thresholds!$E$1,"STALE","CURRENT")</f>
        <v>CURRENT</v>
      </c>
    </row>
    <row r="160" spans="1:12" x14ac:dyDescent="0.3">
      <c r="A160" s="15" t="str">
        <f>Raw_Data!A160</f>
        <v>P0158</v>
      </c>
      <c r="B160" s="15" t="str">
        <f>Raw_Data!C160</f>
        <v>New York Rates</v>
      </c>
      <c r="C160" s="11" t="str">
        <f>IFERROR(INDEX(Thresholds!$A$2:$A$5,MATCH(TRIM(Raw_Data!D160),Thresholds!$A$2:$A$5,0)),"UNMAPPED")</f>
        <v>Government Bond</v>
      </c>
      <c r="D160" s="16">
        <f>Raw_Data!G160</f>
        <v>11561</v>
      </c>
      <c r="E160" s="17">
        <f>Raw_Data!H160</f>
        <v>96.644000000000005</v>
      </c>
      <c r="F160" s="14">
        <f>IF(Raw_Data!I160="","",Raw_Data!I160)</f>
        <v>96.545000000000002</v>
      </c>
      <c r="G160" s="18">
        <f t="shared" si="6"/>
        <v>1.0254285566316614E-3</v>
      </c>
      <c r="H160" s="19">
        <f>IFERROR(INDEX(Thresholds!$B$2:$B$5,MATCH(C160,Thresholds!$A$2:$A$5,0)),"")</f>
        <v>2.5000000000000001E-3</v>
      </c>
      <c r="I160" s="20">
        <f t="shared" si="7"/>
        <v>1144.5390000000434</v>
      </c>
      <c r="J160" s="11" t="str">
        <f t="shared" si="8"/>
        <v>OK</v>
      </c>
      <c r="K160" s="11" t="str">
        <f>IF(COUNTIF(Raw_Data!$A$2:A160,Raw_Data!A160)&gt;1,"DUP","UNIQUE")</f>
        <v>UNIQUE</v>
      </c>
      <c r="L160" s="11" t="str">
        <f>IF(Raw_Data!B160&lt;&gt;Thresholds!$E$1,"STALE","CURRENT")</f>
        <v>CURRENT</v>
      </c>
    </row>
    <row r="161" spans="1:12" x14ac:dyDescent="0.3">
      <c r="A161" s="15" t="str">
        <f>Raw_Data!A161</f>
        <v>P0159</v>
      </c>
      <c r="B161" s="15" t="str">
        <f>Raw_Data!C161</f>
        <v>New York Credit</v>
      </c>
      <c r="C161" s="11" t="str">
        <f>IFERROR(INDEX(Thresholds!$A$2:$A$5,MATCH(TRIM(Raw_Data!D161),Thresholds!$A$2:$A$5,0)),"UNMAPPED")</f>
        <v>Corporate Bond</v>
      </c>
      <c r="D161" s="16">
        <f>Raw_Data!G161</f>
        <v>11278</v>
      </c>
      <c r="E161" s="17">
        <f>Raw_Data!H161</f>
        <v>103.657</v>
      </c>
      <c r="F161" s="14">
        <f>IF(Raw_Data!I161="","",Raw_Data!I161)</f>
        <v>103.664</v>
      </c>
      <c r="G161" s="18">
        <f t="shared" si="6"/>
        <v>-6.7525852755103051E-5</v>
      </c>
      <c r="H161" s="19">
        <f>IFERROR(INDEX(Thresholds!$B$2:$B$5,MATCH(C161,Thresholds!$A$2:$A$5,0)),"")</f>
        <v>5.0000000000000001E-3</v>
      </c>
      <c r="I161" s="20">
        <f t="shared" si="7"/>
        <v>-78.946000000056415</v>
      </c>
      <c r="J161" s="11" t="str">
        <f t="shared" si="8"/>
        <v>OK</v>
      </c>
      <c r="K161" s="11" t="str">
        <f>IF(COUNTIF(Raw_Data!$A$2:A161,Raw_Data!A161)&gt;1,"DUP","UNIQUE")</f>
        <v>UNIQUE</v>
      </c>
      <c r="L161" s="11" t="str">
        <f>IF(Raw_Data!B161&lt;&gt;Thresholds!$E$1,"STALE","CURRENT")</f>
        <v>CURRENT</v>
      </c>
    </row>
    <row r="162" spans="1:12" x14ac:dyDescent="0.3">
      <c r="A162" s="15" t="str">
        <f>Raw_Data!A162</f>
        <v>P0160</v>
      </c>
      <c r="B162" s="15" t="str">
        <f>Raw_Data!C162</f>
        <v>Zurich Equities</v>
      </c>
      <c r="C162" s="11" t="str">
        <f>IFERROR(INDEX(Thresholds!$A$2:$A$5,MATCH(TRIM(Raw_Data!D162),Thresholds!$A$2:$A$5,0)),"UNMAPPED")</f>
        <v>Equity</v>
      </c>
      <c r="D162" s="16">
        <f>Raw_Data!G162</f>
        <v>20253</v>
      </c>
      <c r="E162" s="17">
        <f>Raw_Data!H162</f>
        <v>51.32</v>
      </c>
      <c r="F162" s="14">
        <f>IF(Raw_Data!I162="","",Raw_Data!I162)</f>
        <v>51.81</v>
      </c>
      <c r="G162" s="18">
        <f t="shared" si="6"/>
        <v>-9.4576336614553558E-3</v>
      </c>
      <c r="H162" s="19">
        <f>IFERROR(INDEX(Thresholds!$B$2:$B$5,MATCH(C162,Thresholds!$A$2:$A$5,0)),"")</f>
        <v>0.01</v>
      </c>
      <c r="I162" s="20">
        <f t="shared" si="7"/>
        <v>-9923.9700000000412</v>
      </c>
      <c r="J162" s="11" t="str">
        <f t="shared" si="8"/>
        <v>OK</v>
      </c>
      <c r="K162" s="11" t="str">
        <f>IF(COUNTIF(Raw_Data!$A$2:A162,Raw_Data!A162)&gt;1,"DUP","UNIQUE")</f>
        <v>UNIQUE</v>
      </c>
      <c r="L162" s="11" t="str">
        <f>IF(Raw_Data!B162&lt;&gt;Thresholds!$E$1,"STALE","CURRENT")</f>
        <v>CURRENT</v>
      </c>
    </row>
    <row r="163" spans="1:12" x14ac:dyDescent="0.3">
      <c r="A163" s="15" t="str">
        <f>Raw_Data!A163</f>
        <v>P0161</v>
      </c>
      <c r="B163" s="15" t="str">
        <f>Raw_Data!C163</f>
        <v>London Rates</v>
      </c>
      <c r="C163" s="11" t="str">
        <f>IFERROR(INDEX(Thresholds!$A$2:$A$5,MATCH(TRIM(Raw_Data!D163),Thresholds!$A$2:$A$5,0)),"UNMAPPED")</f>
        <v>Government Bond</v>
      </c>
      <c r="D163" s="16">
        <f>Raw_Data!G163</f>
        <v>2318</v>
      </c>
      <c r="E163" s="17">
        <f>Raw_Data!H163</f>
        <v>103.997</v>
      </c>
      <c r="F163" s="14">
        <f>IF(Raw_Data!I163="","",Raw_Data!I163)</f>
        <v>104.036</v>
      </c>
      <c r="G163" s="18">
        <f t="shared" si="6"/>
        <v>-3.7487023722558994E-4</v>
      </c>
      <c r="H163" s="19">
        <f>IFERROR(INDEX(Thresholds!$B$2:$B$5,MATCH(C163,Thresholds!$A$2:$A$5,0)),"")</f>
        <v>2.5000000000000001E-3</v>
      </c>
      <c r="I163" s="20">
        <f t="shared" si="7"/>
        <v>-90.402000000003426</v>
      </c>
      <c r="J163" s="11" t="str">
        <f t="shared" si="8"/>
        <v>OK</v>
      </c>
      <c r="K163" s="11" t="str">
        <f>IF(COUNTIF(Raw_Data!$A$2:A163,Raw_Data!A163)&gt;1,"DUP","UNIQUE")</f>
        <v>UNIQUE</v>
      </c>
      <c r="L163" s="11" t="str">
        <f>IF(Raw_Data!B163&lt;&gt;Thresholds!$E$1,"STALE","CURRENT")</f>
        <v>CURRENT</v>
      </c>
    </row>
    <row r="164" spans="1:12" x14ac:dyDescent="0.3">
      <c r="A164" s="15" t="str">
        <f>Raw_Data!A164</f>
        <v>P0162</v>
      </c>
      <c r="B164" s="15" t="str">
        <f>Raw_Data!C164</f>
        <v>Zurich Equities</v>
      </c>
      <c r="C164" s="11" t="str">
        <f>IFERROR(INDEX(Thresholds!$A$2:$A$5,MATCH(TRIM(Raw_Data!D164),Thresholds!$A$2:$A$5,0)),"UNMAPPED")</f>
        <v>Equity</v>
      </c>
      <c r="D164" s="16">
        <f>Raw_Data!G164</f>
        <v>49119</v>
      </c>
      <c r="E164" s="17">
        <f>Raw_Data!H164</f>
        <v>291.24</v>
      </c>
      <c r="F164" s="14">
        <f>IF(Raw_Data!I164="","",Raw_Data!I164)</f>
        <v>292.85000000000002</v>
      </c>
      <c r="G164" s="18">
        <f t="shared" si="6"/>
        <v>-5.4976950657333566E-3</v>
      </c>
      <c r="H164" s="19">
        <f>IFERROR(INDEX(Thresholds!$B$2:$B$5,MATCH(C164,Thresholds!$A$2:$A$5,0)),"")</f>
        <v>0.01</v>
      </c>
      <c r="I164" s="20">
        <f t="shared" si="7"/>
        <v>-79081.590000000666</v>
      </c>
      <c r="J164" s="11" t="str">
        <f t="shared" si="8"/>
        <v>OK</v>
      </c>
      <c r="K164" s="11" t="str">
        <f>IF(COUNTIF(Raw_Data!$A$2:A164,Raw_Data!A164)&gt;1,"DUP","UNIQUE")</f>
        <v>UNIQUE</v>
      </c>
      <c r="L164" s="11" t="str">
        <f>IF(Raw_Data!B164&lt;&gt;Thresholds!$E$1,"STALE","CURRENT")</f>
        <v>CURRENT</v>
      </c>
    </row>
    <row r="165" spans="1:12" x14ac:dyDescent="0.3">
      <c r="A165" s="15" t="str">
        <f>Raw_Data!A165</f>
        <v>P0163</v>
      </c>
      <c r="B165" s="15" t="str">
        <f>Raw_Data!C165</f>
        <v>Singapore Equities</v>
      </c>
      <c r="C165" s="11" t="str">
        <f>IFERROR(INDEX(Thresholds!$A$2:$A$5,MATCH(TRIM(Raw_Data!D165),Thresholds!$A$2:$A$5,0)),"UNMAPPED")</f>
        <v>Equity</v>
      </c>
      <c r="D165" s="16">
        <f>Raw_Data!G165</f>
        <v>41220</v>
      </c>
      <c r="E165" s="17">
        <f>Raw_Data!H165</f>
        <v>45.45</v>
      </c>
      <c r="F165" s="14">
        <f>IF(Raw_Data!I165="","",Raw_Data!I165)</f>
        <v>45.35</v>
      </c>
      <c r="G165" s="18">
        <f t="shared" si="6"/>
        <v>2.2050716648291382E-3</v>
      </c>
      <c r="H165" s="19">
        <f>IFERROR(INDEX(Thresholds!$B$2:$B$5,MATCH(C165,Thresholds!$A$2:$A$5,0)),"")</f>
        <v>0.01</v>
      </c>
      <c r="I165" s="20">
        <f t="shared" si="7"/>
        <v>4122.0000000000582</v>
      </c>
      <c r="J165" s="11" t="str">
        <f t="shared" si="8"/>
        <v>OK</v>
      </c>
      <c r="K165" s="11" t="str">
        <f>IF(COUNTIF(Raw_Data!$A$2:A165,Raw_Data!A165)&gt;1,"DUP","UNIQUE")</f>
        <v>UNIQUE</v>
      </c>
      <c r="L165" s="11" t="str">
        <f>IF(Raw_Data!B165&lt;&gt;Thresholds!$E$1,"STALE","CURRENT")</f>
        <v>CURRENT</v>
      </c>
    </row>
    <row r="166" spans="1:12" x14ac:dyDescent="0.3">
      <c r="A166" s="15" t="str">
        <f>Raw_Data!A166</f>
        <v>P0164</v>
      </c>
      <c r="B166" s="15" t="str">
        <f>Raw_Data!C166</f>
        <v>New York Rates</v>
      </c>
      <c r="C166" s="11" t="str">
        <f>IFERROR(INDEX(Thresholds!$A$2:$A$5,MATCH(TRIM(Raw_Data!D166),Thresholds!$A$2:$A$5,0)),"UNMAPPED")</f>
        <v>Government Bond</v>
      </c>
      <c r="D166" s="16">
        <f>Raw_Data!G166</f>
        <v>15868</v>
      </c>
      <c r="E166" s="17">
        <f>Raw_Data!H166</f>
        <v>98.813999999999993</v>
      </c>
      <c r="F166" s="14">
        <f>IF(Raw_Data!I166="","",Raw_Data!I166)</f>
        <v>98.537999999999997</v>
      </c>
      <c r="G166" s="18">
        <f t="shared" si="6"/>
        <v>2.8009498873530644E-3</v>
      </c>
      <c r="H166" s="19">
        <f>IFERROR(INDEX(Thresholds!$B$2:$B$5,MATCH(C166,Thresholds!$A$2:$A$5,0)),"")</f>
        <v>2.5000000000000001E-3</v>
      </c>
      <c r="I166" s="20">
        <f t="shared" si="7"/>
        <v>4379.5679999999402</v>
      </c>
      <c r="J166" s="11" t="str">
        <f t="shared" si="8"/>
        <v>BREACH</v>
      </c>
      <c r="K166" s="11" t="str">
        <f>IF(COUNTIF(Raw_Data!$A$2:A166,Raw_Data!A166)&gt;1,"DUP","UNIQUE")</f>
        <v>UNIQUE</v>
      </c>
      <c r="L166" s="11" t="str">
        <f>IF(Raw_Data!B166&lt;&gt;Thresholds!$E$1,"STALE","CURRENT")</f>
        <v>CURRENT</v>
      </c>
    </row>
    <row r="167" spans="1:12" x14ac:dyDescent="0.3">
      <c r="A167" s="15" t="str">
        <f>Raw_Data!A167</f>
        <v>P0165</v>
      </c>
      <c r="B167" s="15" t="str">
        <f>Raw_Data!C167</f>
        <v>London Credit</v>
      </c>
      <c r="C167" s="11" t="str">
        <f>IFERROR(INDEX(Thresholds!$A$2:$A$5,MATCH(TRIM(Raw_Data!D167),Thresholds!$A$2:$A$5,0)),"UNMAPPED")</f>
        <v>Corporate Bond</v>
      </c>
      <c r="D167" s="16">
        <f>Raw_Data!G167</f>
        <v>5534</v>
      </c>
      <c r="E167" s="17">
        <f>Raw_Data!H167</f>
        <v>96.346999999999994</v>
      </c>
      <c r="F167" s="14">
        <f>IF(Raw_Data!I167="","",Raw_Data!I167)</f>
        <v>96.474999999999994</v>
      </c>
      <c r="G167" s="18">
        <f t="shared" si="6"/>
        <v>-1.3267685928997162E-3</v>
      </c>
      <c r="H167" s="19">
        <f>IFERROR(INDEX(Thresholds!$B$2:$B$5,MATCH(C167,Thresholds!$A$2:$A$5,0)),"")</f>
        <v>5.0000000000000001E-3</v>
      </c>
      <c r="I167" s="20">
        <f t="shared" si="7"/>
        <v>-708.35200000000066</v>
      </c>
      <c r="J167" s="11" t="str">
        <f t="shared" si="8"/>
        <v>OK</v>
      </c>
      <c r="K167" s="11" t="str">
        <f>IF(COUNTIF(Raw_Data!$A$2:A167,Raw_Data!A167)&gt;1,"DUP","UNIQUE")</f>
        <v>UNIQUE</v>
      </c>
      <c r="L167" s="11" t="str">
        <f>IF(Raw_Data!B167&lt;&gt;Thresholds!$E$1,"STALE","CURRENT")</f>
        <v>CURRENT</v>
      </c>
    </row>
    <row r="168" spans="1:12" x14ac:dyDescent="0.3">
      <c r="A168" s="15" t="str">
        <f>Raw_Data!A168</f>
        <v>P0166</v>
      </c>
      <c r="B168" s="15" t="str">
        <f>Raw_Data!C168</f>
        <v>New York Rates</v>
      </c>
      <c r="C168" s="11" t="str">
        <f>IFERROR(INDEX(Thresholds!$A$2:$A$5,MATCH(TRIM(Raw_Data!D168),Thresholds!$A$2:$A$5,0)),"UNMAPPED")</f>
        <v>Government Bond</v>
      </c>
      <c r="D168" s="16">
        <f>Raw_Data!G168</f>
        <v>16883</v>
      </c>
      <c r="E168" s="17">
        <f>Raw_Data!H168</f>
        <v>100.39400000000001</v>
      </c>
      <c r="F168" s="14">
        <f>IF(Raw_Data!I168="","",Raw_Data!I168)</f>
        <v>100.297</v>
      </c>
      <c r="G168" s="18">
        <f t="shared" si="6"/>
        <v>9.6712763093620359E-4</v>
      </c>
      <c r="H168" s="19">
        <f>IFERROR(INDEX(Thresholds!$B$2:$B$5,MATCH(C168,Thresholds!$A$2:$A$5,0)),"")</f>
        <v>2.5000000000000001E-3</v>
      </c>
      <c r="I168" s="20">
        <f t="shared" si="7"/>
        <v>1637.6510000001419</v>
      </c>
      <c r="J168" s="11" t="str">
        <f t="shared" si="8"/>
        <v>OK</v>
      </c>
      <c r="K168" s="11" t="str">
        <f>IF(COUNTIF(Raw_Data!$A$2:A168,Raw_Data!A168)&gt;1,"DUP","UNIQUE")</f>
        <v>UNIQUE</v>
      </c>
      <c r="L168" s="11" t="str">
        <f>IF(Raw_Data!B168&lt;&gt;Thresholds!$E$1,"STALE","CURRENT")</f>
        <v>CURRENT</v>
      </c>
    </row>
    <row r="169" spans="1:12" x14ac:dyDescent="0.3">
      <c r="A169" s="15" t="str">
        <f>Raw_Data!A169</f>
        <v>P0167</v>
      </c>
      <c r="B169" s="15" t="str">
        <f>Raw_Data!C169</f>
        <v>Zurich Equities</v>
      </c>
      <c r="C169" s="11" t="str">
        <f>IFERROR(INDEX(Thresholds!$A$2:$A$5,MATCH(TRIM(Raw_Data!D169),Thresholds!$A$2:$A$5,0)),"UNMAPPED")</f>
        <v>Equity</v>
      </c>
      <c r="D169" s="16">
        <f>Raw_Data!G169</f>
        <v>41298</v>
      </c>
      <c r="E169" s="17">
        <f>Raw_Data!H169</f>
        <v>174.57</v>
      </c>
      <c r="F169" s="14">
        <f>IF(Raw_Data!I169="","",Raw_Data!I169)</f>
        <v>175.65</v>
      </c>
      <c r="G169" s="18">
        <f t="shared" si="6"/>
        <v>-6.1485909479078423E-3</v>
      </c>
      <c r="H169" s="19">
        <f>IFERROR(INDEX(Thresholds!$B$2:$B$5,MATCH(C169,Thresholds!$A$2:$A$5,0)),"")</f>
        <v>0.01</v>
      </c>
      <c r="I169" s="20">
        <f t="shared" si="7"/>
        <v>-44601.840000000513</v>
      </c>
      <c r="J169" s="11" t="str">
        <f t="shared" si="8"/>
        <v>OK</v>
      </c>
      <c r="K169" s="11" t="str">
        <f>IF(COUNTIF(Raw_Data!$A$2:A169,Raw_Data!A169)&gt;1,"DUP","UNIQUE")</f>
        <v>UNIQUE</v>
      </c>
      <c r="L169" s="11" t="str">
        <f>IF(Raw_Data!B169&lt;&gt;Thresholds!$E$1,"STALE","CURRENT")</f>
        <v>CURRENT</v>
      </c>
    </row>
    <row r="170" spans="1:12" x14ac:dyDescent="0.3">
      <c r="A170" s="15" t="str">
        <f>Raw_Data!A170</f>
        <v>P0168</v>
      </c>
      <c r="B170" s="15" t="str">
        <f>Raw_Data!C170</f>
        <v>Singapore Equities</v>
      </c>
      <c r="C170" s="11" t="str">
        <f>IFERROR(INDEX(Thresholds!$A$2:$A$5,MATCH(TRIM(Raw_Data!D170),Thresholds!$A$2:$A$5,0)),"UNMAPPED")</f>
        <v>Equity</v>
      </c>
      <c r="D170" s="16">
        <f>Raw_Data!G170</f>
        <v>15356</v>
      </c>
      <c r="E170" s="17">
        <f>Raw_Data!H170</f>
        <v>295.86</v>
      </c>
      <c r="F170" s="14">
        <f>IF(Raw_Data!I170="","",Raw_Data!I170)</f>
        <v>296.3</v>
      </c>
      <c r="G170" s="18">
        <f t="shared" si="6"/>
        <v>-1.4849814377320206E-3</v>
      </c>
      <c r="H170" s="19">
        <f>IFERROR(INDEX(Thresholds!$B$2:$B$5,MATCH(C170,Thresholds!$A$2:$A$5,0)),"")</f>
        <v>0.01</v>
      </c>
      <c r="I170" s="20">
        <f t="shared" si="7"/>
        <v>-6756.6399999999649</v>
      </c>
      <c r="J170" s="11" t="str">
        <f t="shared" si="8"/>
        <v>OK</v>
      </c>
      <c r="K170" s="11" t="str">
        <f>IF(COUNTIF(Raw_Data!$A$2:A170,Raw_Data!A170)&gt;1,"DUP","UNIQUE")</f>
        <v>UNIQUE</v>
      </c>
      <c r="L170" s="11" t="str">
        <f>IF(Raw_Data!B170&lt;&gt;Thresholds!$E$1,"STALE","CURRENT")</f>
        <v>CURRENT</v>
      </c>
    </row>
    <row r="171" spans="1:12" x14ac:dyDescent="0.3">
      <c r="A171" s="15" t="str">
        <f>Raw_Data!A171</f>
        <v>P0169</v>
      </c>
      <c r="B171" s="15" t="str">
        <f>Raw_Data!C171</f>
        <v>Zurich Equities</v>
      </c>
      <c r="C171" s="11" t="str">
        <f>IFERROR(INDEX(Thresholds!$A$2:$A$5,MATCH(TRIM(Raw_Data!D171),Thresholds!$A$2:$A$5,0)),"UNMAPPED")</f>
        <v>Equity</v>
      </c>
      <c r="D171" s="16">
        <f>Raw_Data!G171</f>
        <v>37282</v>
      </c>
      <c r="E171" s="17">
        <f>Raw_Data!H171</f>
        <v>36.22</v>
      </c>
      <c r="F171" s="14">
        <f>IF(Raw_Data!I171="","",Raw_Data!I171)</f>
        <v>35.83</v>
      </c>
      <c r="G171" s="18">
        <f t="shared" si="6"/>
        <v>1.0884733463578024E-2</v>
      </c>
      <c r="H171" s="19">
        <f>IFERROR(INDEX(Thresholds!$B$2:$B$5,MATCH(C171,Thresholds!$A$2:$A$5,0)),"")</f>
        <v>0.01</v>
      </c>
      <c r="I171" s="20">
        <f t="shared" si="7"/>
        <v>14539.980000000021</v>
      </c>
      <c r="J171" s="11" t="str">
        <f t="shared" si="8"/>
        <v>BREACH</v>
      </c>
      <c r="K171" s="11" t="str">
        <f>IF(COUNTIF(Raw_Data!$A$2:A171,Raw_Data!A171)&gt;1,"DUP","UNIQUE")</f>
        <v>UNIQUE</v>
      </c>
      <c r="L171" s="11" t="str">
        <f>IF(Raw_Data!B171&lt;&gt;Thresholds!$E$1,"STALE","CURRENT")</f>
        <v>STALE</v>
      </c>
    </row>
    <row r="172" spans="1:12" x14ac:dyDescent="0.3">
      <c r="A172" s="15" t="str">
        <f>Raw_Data!A172</f>
        <v>P0170</v>
      </c>
      <c r="B172" s="15" t="str">
        <f>Raw_Data!C172</f>
        <v>Zurich FX</v>
      </c>
      <c r="C172" s="11" t="str">
        <f>IFERROR(INDEX(Thresholds!$A$2:$A$5,MATCH(TRIM(Raw_Data!D172),Thresholds!$A$2:$A$5,0)),"UNMAPPED")</f>
        <v>FX Forward</v>
      </c>
      <c r="D172" s="16">
        <f>Raw_Data!G172</f>
        <v>2417331</v>
      </c>
      <c r="E172" s="17">
        <f>Raw_Data!H172</f>
        <v>1.4640299999999999</v>
      </c>
      <c r="F172" s="14">
        <f>IF(Raw_Data!I172="","",Raw_Data!I172)</f>
        <v>1.4629000000000001</v>
      </c>
      <c r="G172" s="18">
        <f t="shared" si="6"/>
        <v>7.7243830747136051E-4</v>
      </c>
      <c r="H172" s="19">
        <f>IFERROR(INDEX(Thresholds!$B$2:$B$5,MATCH(C172,Thresholds!$A$2:$A$5,0)),"")</f>
        <v>3.0000000000000001E-3</v>
      </c>
      <c r="I172" s="20">
        <f t="shared" si="7"/>
        <v>2731.5840299996453</v>
      </c>
      <c r="J172" s="11" t="str">
        <f t="shared" si="8"/>
        <v>OK</v>
      </c>
      <c r="K172" s="11" t="str">
        <f>IF(COUNTIF(Raw_Data!$A$2:A172,Raw_Data!A172)&gt;1,"DUP","UNIQUE")</f>
        <v>UNIQUE</v>
      </c>
      <c r="L172" s="11" t="str">
        <f>IF(Raw_Data!B172&lt;&gt;Thresholds!$E$1,"STALE","CURRENT")</f>
        <v>CURRENT</v>
      </c>
    </row>
    <row r="173" spans="1:12" x14ac:dyDescent="0.3">
      <c r="A173" s="15" t="str">
        <f>Raw_Data!A173</f>
        <v>P0171</v>
      </c>
      <c r="B173" s="15" t="str">
        <f>Raw_Data!C173</f>
        <v>New York Credit</v>
      </c>
      <c r="C173" s="11" t="str">
        <f>IFERROR(INDEX(Thresholds!$A$2:$A$5,MATCH(TRIM(Raw_Data!D173),Thresholds!$A$2:$A$5,0)),"UNMAPPED")</f>
        <v>Corporate Bond</v>
      </c>
      <c r="D173" s="16">
        <f>Raw_Data!G173</f>
        <v>17617</v>
      </c>
      <c r="E173" s="17">
        <f>Raw_Data!H173</f>
        <v>102.614</v>
      </c>
      <c r="F173" s="14">
        <f>IF(Raw_Data!I173="","",Raw_Data!I173)</f>
        <v>103.32</v>
      </c>
      <c r="G173" s="18">
        <f t="shared" si="6"/>
        <v>-6.8331397599689205E-3</v>
      </c>
      <c r="H173" s="19">
        <f>IFERROR(INDEX(Thresholds!$B$2:$B$5,MATCH(C173,Thresholds!$A$2:$A$5,0)),"")</f>
        <v>5.0000000000000001E-3</v>
      </c>
      <c r="I173" s="20">
        <f t="shared" si="7"/>
        <v>-12437.601999999804</v>
      </c>
      <c r="J173" s="11" t="str">
        <f t="shared" si="8"/>
        <v>BREACH</v>
      </c>
      <c r="K173" s="11" t="str">
        <f>IF(COUNTIF(Raw_Data!$A$2:A173,Raw_Data!A173)&gt;1,"DUP","UNIQUE")</f>
        <v>UNIQUE</v>
      </c>
      <c r="L173" s="11" t="str">
        <f>IF(Raw_Data!B173&lt;&gt;Thresholds!$E$1,"STALE","CURRENT")</f>
        <v>CURRENT</v>
      </c>
    </row>
    <row r="174" spans="1:12" x14ac:dyDescent="0.3">
      <c r="A174" s="15" t="str">
        <f>Raw_Data!A174</f>
        <v>P0172</v>
      </c>
      <c r="B174" s="15" t="str">
        <f>Raw_Data!C174</f>
        <v>New York Rates</v>
      </c>
      <c r="C174" s="11" t="str">
        <f>IFERROR(INDEX(Thresholds!$A$2:$A$5,MATCH(TRIM(Raw_Data!D174),Thresholds!$A$2:$A$5,0)),"UNMAPPED")</f>
        <v>Government Bond</v>
      </c>
      <c r="D174" s="16">
        <f>Raw_Data!G174</f>
        <v>8972</v>
      </c>
      <c r="E174" s="17">
        <f>Raw_Data!H174</f>
        <v>102.343</v>
      </c>
      <c r="F174" s="14">
        <f>IF(Raw_Data!I174="","",Raw_Data!I174)</f>
        <v>102.283</v>
      </c>
      <c r="G174" s="18">
        <f t="shared" si="6"/>
        <v>5.8660774517761769E-4</v>
      </c>
      <c r="H174" s="19">
        <f>IFERROR(INDEX(Thresholds!$B$2:$B$5,MATCH(C174,Thresholds!$A$2:$A$5,0)),"")</f>
        <v>2.5000000000000001E-3</v>
      </c>
      <c r="I174" s="20">
        <f t="shared" si="7"/>
        <v>538.3200000000204</v>
      </c>
      <c r="J174" s="11" t="str">
        <f t="shared" si="8"/>
        <v>OK</v>
      </c>
      <c r="K174" s="11" t="str">
        <f>IF(COUNTIF(Raw_Data!$A$2:A174,Raw_Data!A174)&gt;1,"DUP","UNIQUE")</f>
        <v>UNIQUE</v>
      </c>
      <c r="L174" s="11" t="str">
        <f>IF(Raw_Data!B174&lt;&gt;Thresholds!$E$1,"STALE","CURRENT")</f>
        <v>CURRENT</v>
      </c>
    </row>
    <row r="175" spans="1:12" x14ac:dyDescent="0.3">
      <c r="A175" s="15" t="str">
        <f>Raw_Data!A175</f>
        <v>P0173</v>
      </c>
      <c r="B175" s="15" t="str">
        <f>Raw_Data!C175</f>
        <v>Singapore Equities</v>
      </c>
      <c r="C175" s="11" t="str">
        <f>IFERROR(INDEX(Thresholds!$A$2:$A$5,MATCH(TRIM(Raw_Data!D175),Thresholds!$A$2:$A$5,0)),"UNMAPPED")</f>
        <v>Equity</v>
      </c>
      <c r="D175" s="16">
        <f>Raw_Data!G175</f>
        <v>13903</v>
      </c>
      <c r="E175" s="17">
        <f>Raw_Data!H175</f>
        <v>98.89</v>
      </c>
      <c r="F175" s="14">
        <f>IF(Raw_Data!I175="","",Raw_Data!I175)</f>
        <v>99.41</v>
      </c>
      <c r="G175" s="18">
        <f t="shared" si="6"/>
        <v>-5.2308620863091848E-3</v>
      </c>
      <c r="H175" s="19">
        <f>IFERROR(INDEX(Thresholds!$B$2:$B$5,MATCH(C175,Thresholds!$A$2:$A$5,0)),"")</f>
        <v>0.01</v>
      </c>
      <c r="I175" s="20">
        <f t="shared" si="7"/>
        <v>-7229.5599999999449</v>
      </c>
      <c r="J175" s="11" t="str">
        <f t="shared" si="8"/>
        <v>OK</v>
      </c>
      <c r="K175" s="11" t="str">
        <f>IF(COUNTIF(Raw_Data!$A$2:A175,Raw_Data!A175)&gt;1,"DUP","UNIQUE")</f>
        <v>UNIQUE</v>
      </c>
      <c r="L175" s="11" t="str">
        <f>IF(Raw_Data!B175&lt;&gt;Thresholds!$E$1,"STALE","CURRENT")</f>
        <v>CURRENT</v>
      </c>
    </row>
    <row r="176" spans="1:12" x14ac:dyDescent="0.3">
      <c r="A176" s="15" t="str">
        <f>Raw_Data!A176</f>
        <v>P0174</v>
      </c>
      <c r="B176" s="15" t="str">
        <f>Raw_Data!C176</f>
        <v>New York Credit</v>
      </c>
      <c r="C176" s="11" t="str">
        <f>IFERROR(INDEX(Thresholds!$A$2:$A$5,MATCH(TRIM(Raw_Data!D176),Thresholds!$A$2:$A$5,0)),"UNMAPPED")</f>
        <v>Corporate Bond</v>
      </c>
      <c r="D176" s="16">
        <f>Raw_Data!G176</f>
        <v>16222</v>
      </c>
      <c r="E176" s="17">
        <f>Raw_Data!H176</f>
        <v>95.501000000000005</v>
      </c>
      <c r="F176" s="14">
        <f>IF(Raw_Data!I176="","",Raw_Data!I176)</f>
        <v>95.378</v>
      </c>
      <c r="G176" s="18">
        <f t="shared" si="6"/>
        <v>1.2896055694185731E-3</v>
      </c>
      <c r="H176" s="19">
        <f>IFERROR(INDEX(Thresholds!$B$2:$B$5,MATCH(C176,Thresholds!$A$2:$A$5,0)),"")</f>
        <v>5.0000000000000001E-3</v>
      </c>
      <c r="I176" s="20">
        <f t="shared" si="7"/>
        <v>1995.3060000000755</v>
      </c>
      <c r="J176" s="11" t="str">
        <f t="shared" si="8"/>
        <v>OK</v>
      </c>
      <c r="K176" s="11" t="str">
        <f>IF(COUNTIF(Raw_Data!$A$2:A176,Raw_Data!A176)&gt;1,"DUP","UNIQUE")</f>
        <v>UNIQUE</v>
      </c>
      <c r="L176" s="11" t="str">
        <f>IF(Raw_Data!B176&lt;&gt;Thresholds!$E$1,"STALE","CURRENT")</f>
        <v>CURRENT</v>
      </c>
    </row>
    <row r="177" spans="1:12" x14ac:dyDescent="0.3">
      <c r="A177" s="15" t="str">
        <f>Raw_Data!A177</f>
        <v>P0175</v>
      </c>
      <c r="B177" s="15" t="str">
        <f>Raw_Data!C177</f>
        <v>New York Rates</v>
      </c>
      <c r="C177" s="11" t="str">
        <f>IFERROR(INDEX(Thresholds!$A$2:$A$5,MATCH(TRIM(Raw_Data!D177),Thresholds!$A$2:$A$5,0)),"UNMAPPED")</f>
        <v>Government Bond</v>
      </c>
      <c r="D177" s="16">
        <f>Raw_Data!G177</f>
        <v>19212</v>
      </c>
      <c r="E177" s="17">
        <f>Raw_Data!H177</f>
        <v>98.236999999999995</v>
      </c>
      <c r="F177" s="14">
        <f>IF(Raw_Data!I177="","",Raw_Data!I177)</f>
        <v>98.403999999999996</v>
      </c>
      <c r="G177" s="18">
        <f t="shared" si="6"/>
        <v>-1.6970854843299215E-3</v>
      </c>
      <c r="H177" s="19">
        <f>IFERROR(INDEX(Thresholds!$B$2:$B$5,MATCH(C177,Thresholds!$A$2:$A$5,0)),"")</f>
        <v>2.5000000000000001E-3</v>
      </c>
      <c r="I177" s="20">
        <f t="shared" si="7"/>
        <v>-3208.4040000000305</v>
      </c>
      <c r="J177" s="11" t="str">
        <f t="shared" si="8"/>
        <v>OK</v>
      </c>
      <c r="K177" s="11" t="str">
        <f>IF(COUNTIF(Raw_Data!$A$2:A177,Raw_Data!A177)&gt;1,"DUP","UNIQUE")</f>
        <v>UNIQUE</v>
      </c>
      <c r="L177" s="11" t="str">
        <f>IF(Raw_Data!B177&lt;&gt;Thresholds!$E$1,"STALE","CURRENT")</f>
        <v>CURRENT</v>
      </c>
    </row>
    <row r="178" spans="1:12" x14ac:dyDescent="0.3">
      <c r="A178" s="15" t="str">
        <f>Raw_Data!A178</f>
        <v>P0173</v>
      </c>
      <c r="B178" s="15" t="str">
        <f>Raw_Data!C178</f>
        <v>Singapore Equities</v>
      </c>
      <c r="C178" s="11" t="str">
        <f>IFERROR(INDEX(Thresholds!$A$2:$A$5,MATCH(TRIM(Raw_Data!D178),Thresholds!$A$2:$A$5,0)),"UNMAPPED")</f>
        <v>Equity</v>
      </c>
      <c r="D178" s="16">
        <f>Raw_Data!G178</f>
        <v>13903</v>
      </c>
      <c r="E178" s="17">
        <f>Raw_Data!H178</f>
        <v>98.89</v>
      </c>
      <c r="F178" s="14">
        <f>IF(Raw_Data!I178="","",Raw_Data!I178)</f>
        <v>99.41</v>
      </c>
      <c r="G178" s="18">
        <f t="shared" si="6"/>
        <v>-5.2308620863091848E-3</v>
      </c>
      <c r="H178" s="19">
        <f>IFERROR(INDEX(Thresholds!$B$2:$B$5,MATCH(C178,Thresholds!$A$2:$A$5,0)),"")</f>
        <v>0.01</v>
      </c>
      <c r="I178" s="20">
        <f t="shared" si="7"/>
        <v>-7229.5599999999449</v>
      </c>
      <c r="J178" s="11" t="str">
        <f t="shared" si="8"/>
        <v>OK</v>
      </c>
      <c r="K178" s="11" t="str">
        <f>IF(COUNTIF(Raw_Data!$A$2:A178,Raw_Data!A178)&gt;1,"DUP","UNIQUE")</f>
        <v>DUP</v>
      </c>
      <c r="L178" s="11" t="str">
        <f>IF(Raw_Data!B178&lt;&gt;Thresholds!$E$1,"STALE","CURRENT")</f>
        <v>CURRENT</v>
      </c>
    </row>
    <row r="179" spans="1:12" x14ac:dyDescent="0.3">
      <c r="A179" s="15" t="str">
        <f>Raw_Data!A179</f>
        <v>P0176</v>
      </c>
      <c r="B179" s="15" t="str">
        <f>Raw_Data!C179</f>
        <v>Zurich Equities</v>
      </c>
      <c r="C179" s="11" t="str">
        <f>IFERROR(INDEX(Thresholds!$A$2:$A$5,MATCH(TRIM(Raw_Data!D179),Thresholds!$A$2:$A$5,0)),"UNMAPPED")</f>
        <v>Equity</v>
      </c>
      <c r="D179" s="16">
        <f>Raw_Data!G179</f>
        <v>45199</v>
      </c>
      <c r="E179" s="17">
        <f>Raw_Data!H179</f>
        <v>149.43</v>
      </c>
      <c r="F179" s="14">
        <f>IF(Raw_Data!I179="","",Raw_Data!I179)</f>
        <v>149.63999999999999</v>
      </c>
      <c r="G179" s="18">
        <f t="shared" si="6"/>
        <v>-1.4033680834000238E-3</v>
      </c>
      <c r="H179" s="19">
        <f>IFERROR(INDEX(Thresholds!$B$2:$B$5,MATCH(C179,Thresholds!$A$2:$A$5,0)),"")</f>
        <v>0.01</v>
      </c>
      <c r="I179" s="20">
        <f t="shared" si="7"/>
        <v>-9491.789999999075</v>
      </c>
      <c r="J179" s="11" t="str">
        <f t="shared" si="8"/>
        <v>OK</v>
      </c>
      <c r="K179" s="11" t="str">
        <f>IF(COUNTIF(Raw_Data!$A$2:A179,Raw_Data!A179)&gt;1,"DUP","UNIQUE")</f>
        <v>UNIQUE</v>
      </c>
      <c r="L179" s="11" t="str">
        <f>IF(Raw_Data!B179&lt;&gt;Thresholds!$E$1,"STALE","CURRENT")</f>
        <v>CURRENT</v>
      </c>
    </row>
    <row r="180" spans="1:12" x14ac:dyDescent="0.3">
      <c r="A180" s="15" t="str">
        <f>Raw_Data!A180</f>
        <v>P0177</v>
      </c>
      <c r="B180" s="15" t="str">
        <f>Raw_Data!C180</f>
        <v>New York Rates</v>
      </c>
      <c r="C180" s="11" t="str">
        <f>IFERROR(INDEX(Thresholds!$A$2:$A$5,MATCH(TRIM(Raw_Data!D180),Thresholds!$A$2:$A$5,0)),"UNMAPPED")</f>
        <v>Government Bond</v>
      </c>
      <c r="D180" s="16">
        <f>Raw_Data!G180</f>
        <v>17083</v>
      </c>
      <c r="E180" s="17">
        <f>Raw_Data!H180</f>
        <v>101.167</v>
      </c>
      <c r="F180" s="14">
        <f>IF(Raw_Data!I180="","",Raw_Data!I180)</f>
        <v>101.096</v>
      </c>
      <c r="G180" s="18">
        <f t="shared" si="6"/>
        <v>7.0230276173140335E-4</v>
      </c>
      <c r="H180" s="19">
        <f>IFERROR(INDEX(Thresholds!$B$2:$B$5,MATCH(C180,Thresholds!$A$2:$A$5,0)),"")</f>
        <v>2.5000000000000001E-3</v>
      </c>
      <c r="I180" s="20">
        <f t="shared" si="7"/>
        <v>1212.892999999965</v>
      </c>
      <c r="J180" s="11" t="str">
        <f t="shared" si="8"/>
        <v>OK</v>
      </c>
      <c r="K180" s="11" t="str">
        <f>IF(COUNTIF(Raw_Data!$A$2:A180,Raw_Data!A180)&gt;1,"DUP","UNIQUE")</f>
        <v>UNIQUE</v>
      </c>
      <c r="L180" s="11" t="str">
        <f>IF(Raw_Data!B180&lt;&gt;Thresholds!$E$1,"STALE","CURRENT")</f>
        <v>CURRENT</v>
      </c>
    </row>
    <row r="181" spans="1:12" x14ac:dyDescent="0.3">
      <c r="A181" s="15" t="str">
        <f>Raw_Data!A181</f>
        <v>P0165</v>
      </c>
      <c r="B181" s="15" t="str">
        <f>Raw_Data!C181</f>
        <v>London Credit</v>
      </c>
      <c r="C181" s="11" t="str">
        <f>IFERROR(INDEX(Thresholds!$A$2:$A$5,MATCH(TRIM(Raw_Data!D181),Thresholds!$A$2:$A$5,0)),"UNMAPPED")</f>
        <v>Corporate Bond</v>
      </c>
      <c r="D181" s="16">
        <f>Raw_Data!G181</f>
        <v>5534</v>
      </c>
      <c r="E181" s="17">
        <f>Raw_Data!H181</f>
        <v>96.346999999999994</v>
      </c>
      <c r="F181" s="14">
        <f>IF(Raw_Data!I181="","",Raw_Data!I181)</f>
        <v>96.474999999999994</v>
      </c>
      <c r="G181" s="18">
        <f t="shared" si="6"/>
        <v>-1.3267685928997162E-3</v>
      </c>
      <c r="H181" s="19">
        <f>IFERROR(INDEX(Thresholds!$B$2:$B$5,MATCH(C181,Thresholds!$A$2:$A$5,0)),"")</f>
        <v>5.0000000000000001E-3</v>
      </c>
      <c r="I181" s="20">
        <f t="shared" si="7"/>
        <v>-708.35200000000066</v>
      </c>
      <c r="J181" s="11" t="str">
        <f t="shared" si="8"/>
        <v>OK</v>
      </c>
      <c r="K181" s="11" t="str">
        <f>IF(COUNTIF(Raw_Data!$A$2:A181,Raw_Data!A181)&gt;1,"DUP","UNIQUE")</f>
        <v>DUP</v>
      </c>
      <c r="L181" s="11" t="str">
        <f>IF(Raw_Data!B181&lt;&gt;Thresholds!$E$1,"STALE","CURRENT")</f>
        <v>CURRENT</v>
      </c>
    </row>
    <row r="182" spans="1:12" x14ac:dyDescent="0.3">
      <c r="A182" s="15" t="str">
        <f>Raw_Data!A182</f>
        <v>P0178</v>
      </c>
      <c r="B182" s="15" t="str">
        <f>Raw_Data!C182</f>
        <v>Singapore Equities</v>
      </c>
      <c r="C182" s="11" t="str">
        <f>IFERROR(INDEX(Thresholds!$A$2:$A$5,MATCH(TRIM(Raw_Data!D182),Thresholds!$A$2:$A$5,0)),"UNMAPPED")</f>
        <v>Equity</v>
      </c>
      <c r="D182" s="16">
        <f>Raw_Data!G182</f>
        <v>25686</v>
      </c>
      <c r="E182" s="17">
        <f>Raw_Data!H182</f>
        <v>272.68</v>
      </c>
      <c r="F182" s="14">
        <f>IF(Raw_Data!I182="","",Raw_Data!I182)</f>
        <v>272.63</v>
      </c>
      <c r="G182" s="18">
        <f t="shared" si="6"/>
        <v>1.8339874555262212E-4</v>
      </c>
      <c r="H182" s="19">
        <f>IFERROR(INDEX(Thresholds!$B$2:$B$5,MATCH(C182,Thresholds!$A$2:$A$5,0)),"")</f>
        <v>0.01</v>
      </c>
      <c r="I182" s="20">
        <f t="shared" si="7"/>
        <v>1284.3000000002921</v>
      </c>
      <c r="J182" s="11" t="str">
        <f t="shared" si="8"/>
        <v>OK</v>
      </c>
      <c r="K182" s="11" t="str">
        <f>IF(COUNTIF(Raw_Data!$A$2:A182,Raw_Data!A182)&gt;1,"DUP","UNIQUE")</f>
        <v>UNIQUE</v>
      </c>
      <c r="L182" s="11" t="str">
        <f>IF(Raw_Data!B182&lt;&gt;Thresholds!$E$1,"STALE","CURRENT")</f>
        <v>CURRENT</v>
      </c>
    </row>
    <row r="183" spans="1:12" x14ac:dyDescent="0.3">
      <c r="A183" s="15" t="str">
        <f>Raw_Data!A183</f>
        <v>P0179</v>
      </c>
      <c r="B183" s="15" t="str">
        <f>Raw_Data!C183</f>
        <v>New York Rates</v>
      </c>
      <c r="C183" s="11" t="str">
        <f>IFERROR(INDEX(Thresholds!$A$2:$A$5,MATCH(TRIM(Raw_Data!D183),Thresholds!$A$2:$A$5,0)),"UNMAPPED")</f>
        <v>Government Bond</v>
      </c>
      <c r="D183" s="16">
        <f>Raw_Data!G183</f>
        <v>16232</v>
      </c>
      <c r="E183" s="17">
        <f>Raw_Data!H183</f>
        <v>100.92700000000001</v>
      </c>
      <c r="F183" s="14">
        <f>IF(Raw_Data!I183="","",Raw_Data!I183)</f>
        <v>100.77500000000001</v>
      </c>
      <c r="G183" s="18">
        <f t="shared" si="6"/>
        <v>1.5083105929049965E-3</v>
      </c>
      <c r="H183" s="19">
        <f>IFERROR(INDEX(Thresholds!$B$2:$B$5,MATCH(C183,Thresholds!$A$2:$A$5,0)),"")</f>
        <v>2.5000000000000001E-3</v>
      </c>
      <c r="I183" s="20">
        <f t="shared" si="7"/>
        <v>2467.2640000000165</v>
      </c>
      <c r="J183" s="11" t="str">
        <f t="shared" si="8"/>
        <v>OK</v>
      </c>
      <c r="K183" s="11" t="str">
        <f>IF(COUNTIF(Raw_Data!$A$2:A183,Raw_Data!A183)&gt;1,"DUP","UNIQUE")</f>
        <v>UNIQUE</v>
      </c>
      <c r="L183" s="11" t="str">
        <f>IF(Raw_Data!B183&lt;&gt;Thresholds!$E$1,"STALE","CURRENT")</f>
        <v>CURRENT</v>
      </c>
    </row>
    <row r="184" spans="1:12" x14ac:dyDescent="0.3">
      <c r="A184" s="15" t="str">
        <f>Raw_Data!A184</f>
        <v>P0180</v>
      </c>
      <c r="B184" s="15" t="str">
        <f>Raw_Data!C184</f>
        <v>Zurich FX</v>
      </c>
      <c r="C184" s="11" t="str">
        <f>IFERROR(INDEX(Thresholds!$A$2:$A$5,MATCH(TRIM(Raw_Data!D184),Thresholds!$A$2:$A$5,0)),"UNMAPPED")</f>
        <v>FX Forward</v>
      </c>
      <c r="D184" s="16">
        <f>Raw_Data!G184</f>
        <v>178831</v>
      </c>
      <c r="E184" s="17">
        <f>Raw_Data!H184</f>
        <v>1.06115</v>
      </c>
      <c r="F184" s="14">
        <f>IF(Raw_Data!I184="","",Raw_Data!I184)</f>
        <v>1.06118</v>
      </c>
      <c r="G184" s="18">
        <f t="shared" si="6"/>
        <v>-2.8270415952029336E-5</v>
      </c>
      <c r="H184" s="19">
        <f>IFERROR(INDEX(Thresholds!$B$2:$B$5,MATCH(C184,Thresholds!$A$2:$A$5,0)),"")</f>
        <v>3.0000000000000001E-3</v>
      </c>
      <c r="I184" s="20">
        <f t="shared" si="7"/>
        <v>-5.3649299999954385</v>
      </c>
      <c r="J184" s="11" t="str">
        <f t="shared" si="8"/>
        <v>OK</v>
      </c>
      <c r="K184" s="11" t="str">
        <f>IF(COUNTIF(Raw_Data!$A$2:A184,Raw_Data!A184)&gt;1,"DUP","UNIQUE")</f>
        <v>UNIQUE</v>
      </c>
      <c r="L184" s="11" t="str">
        <f>IF(Raw_Data!B184&lt;&gt;Thresholds!$E$1,"STALE","CURRENT")</f>
        <v>CURRENT</v>
      </c>
    </row>
    <row r="185" spans="1:12" x14ac:dyDescent="0.3">
      <c r="A185" s="15" t="str">
        <f>Raw_Data!A185</f>
        <v>P0181</v>
      </c>
      <c r="B185" s="15" t="str">
        <f>Raw_Data!C185</f>
        <v>London Credit</v>
      </c>
      <c r="C185" s="11" t="str">
        <f>IFERROR(INDEX(Thresholds!$A$2:$A$5,MATCH(TRIM(Raw_Data!D185),Thresholds!$A$2:$A$5,0)),"UNMAPPED")</f>
        <v>Corporate Bond</v>
      </c>
      <c r="D185" s="16">
        <f>Raw_Data!G185</f>
        <v>7532</v>
      </c>
      <c r="E185" s="17">
        <f>Raw_Data!H185</f>
        <v>107.194</v>
      </c>
      <c r="F185" s="14">
        <f>IF(Raw_Data!I185="","",Raw_Data!I185)</f>
        <v>106.881</v>
      </c>
      <c r="G185" s="18">
        <f t="shared" si="6"/>
        <v>2.9284905642724375E-3</v>
      </c>
      <c r="H185" s="19">
        <f>IFERROR(INDEX(Thresholds!$B$2:$B$5,MATCH(C185,Thresholds!$A$2:$A$5,0)),"")</f>
        <v>5.0000000000000001E-3</v>
      </c>
      <c r="I185" s="20">
        <f t="shared" si="7"/>
        <v>2357.5160000000178</v>
      </c>
      <c r="J185" s="11" t="str">
        <f t="shared" si="8"/>
        <v>OK</v>
      </c>
      <c r="K185" s="11" t="str">
        <f>IF(COUNTIF(Raw_Data!$A$2:A185,Raw_Data!A185)&gt;1,"DUP","UNIQUE")</f>
        <v>UNIQUE</v>
      </c>
      <c r="L185" s="11" t="str">
        <f>IF(Raw_Data!B185&lt;&gt;Thresholds!$E$1,"STALE","CURRENT")</f>
        <v>CURRENT</v>
      </c>
    </row>
    <row r="186" spans="1:12" x14ac:dyDescent="0.3">
      <c r="A186" s="15" t="str">
        <f>Raw_Data!A186</f>
        <v>P0182</v>
      </c>
      <c r="B186" s="15" t="str">
        <f>Raw_Data!C186</f>
        <v>New York Rates</v>
      </c>
      <c r="C186" s="11" t="str">
        <f>IFERROR(INDEX(Thresholds!$A$2:$A$5,MATCH(TRIM(Raw_Data!D186),Thresholds!$A$2:$A$5,0)),"UNMAPPED")</f>
        <v>Government Bond</v>
      </c>
      <c r="D186" s="16">
        <f>Raw_Data!G186</f>
        <v>15771</v>
      </c>
      <c r="E186" s="17">
        <f>Raw_Data!H186</f>
        <v>102.81399999999999</v>
      </c>
      <c r="F186" s="14">
        <f>IF(Raw_Data!I186="","",Raw_Data!I186)</f>
        <v>102.79300000000001</v>
      </c>
      <c r="G186" s="18">
        <f t="shared" si="6"/>
        <v>2.042940667164747E-4</v>
      </c>
      <c r="H186" s="19">
        <f>IFERROR(INDEX(Thresholds!$B$2:$B$5,MATCH(C186,Thresholds!$A$2:$A$5,0)),"")</f>
        <v>2.5000000000000001E-3</v>
      </c>
      <c r="I186" s="20">
        <f t="shared" si="7"/>
        <v>331.19099999978846</v>
      </c>
      <c r="J186" s="11" t="str">
        <f t="shared" si="8"/>
        <v>OK</v>
      </c>
      <c r="K186" s="11" t="str">
        <f>IF(COUNTIF(Raw_Data!$A$2:A186,Raw_Data!A186)&gt;1,"DUP","UNIQUE")</f>
        <v>UNIQUE</v>
      </c>
      <c r="L186" s="11" t="str">
        <f>IF(Raw_Data!B186&lt;&gt;Thresholds!$E$1,"STALE","CURRENT")</f>
        <v>CURRENT</v>
      </c>
    </row>
    <row r="187" spans="1:12" x14ac:dyDescent="0.3">
      <c r="A187" s="15" t="str">
        <f>Raw_Data!A187</f>
        <v>P0183</v>
      </c>
      <c r="B187" s="15" t="str">
        <f>Raw_Data!C187</f>
        <v>Singapore Equities</v>
      </c>
      <c r="C187" s="11" t="str">
        <f>IFERROR(INDEX(Thresholds!$A$2:$A$5,MATCH(TRIM(Raw_Data!D187),Thresholds!$A$2:$A$5,0)),"UNMAPPED")</f>
        <v>Equity</v>
      </c>
      <c r="D187" s="16">
        <f>Raw_Data!G187</f>
        <v>6178</v>
      </c>
      <c r="E187" s="17">
        <f>Raw_Data!H187</f>
        <v>63.53</v>
      </c>
      <c r="F187" s="14">
        <f>IF(Raw_Data!I187="","",Raw_Data!I187)</f>
        <v>63.25</v>
      </c>
      <c r="G187" s="18">
        <f t="shared" si="6"/>
        <v>4.4268774703557492E-3</v>
      </c>
      <c r="H187" s="19">
        <f>IFERROR(INDEX(Thresholds!$B$2:$B$5,MATCH(C187,Thresholds!$A$2:$A$5,0)),"")</f>
        <v>0.01</v>
      </c>
      <c r="I187" s="20">
        <f t="shared" si="7"/>
        <v>1729.840000000007</v>
      </c>
      <c r="J187" s="11" t="str">
        <f t="shared" si="8"/>
        <v>OK</v>
      </c>
      <c r="K187" s="11" t="str">
        <f>IF(COUNTIF(Raw_Data!$A$2:A187,Raw_Data!A187)&gt;1,"DUP","UNIQUE")</f>
        <v>UNIQUE</v>
      </c>
      <c r="L187" s="11" t="str">
        <f>IF(Raw_Data!B187&lt;&gt;Thresholds!$E$1,"STALE","CURRENT")</f>
        <v>CURRENT</v>
      </c>
    </row>
    <row r="188" spans="1:12" x14ac:dyDescent="0.3">
      <c r="A188" s="15" t="str">
        <f>Raw_Data!A188</f>
        <v>P0184</v>
      </c>
      <c r="B188" s="15" t="str">
        <f>Raw_Data!C188</f>
        <v>New York Credit</v>
      </c>
      <c r="C188" s="11" t="str">
        <f>IFERROR(INDEX(Thresholds!$A$2:$A$5,MATCH(TRIM(Raw_Data!D188),Thresholds!$A$2:$A$5,0)),"UNMAPPED")</f>
        <v>Corporate Bond</v>
      </c>
      <c r="D188" s="16">
        <f>Raw_Data!G188</f>
        <v>19314</v>
      </c>
      <c r="E188" s="17">
        <f>Raw_Data!H188</f>
        <v>94.132999999999996</v>
      </c>
      <c r="F188" s="14">
        <f>IF(Raw_Data!I188="","",Raw_Data!I188)</f>
        <v>94.415999999999997</v>
      </c>
      <c r="G188" s="18">
        <f t="shared" si="6"/>
        <v>-2.9973733265548346E-3</v>
      </c>
      <c r="H188" s="19">
        <f>IFERROR(INDEX(Thresholds!$B$2:$B$5,MATCH(C188,Thresholds!$A$2:$A$5,0)),"")</f>
        <v>5.0000000000000001E-3</v>
      </c>
      <c r="I188" s="20">
        <f t="shared" si="7"/>
        <v>-5465.8620000000237</v>
      </c>
      <c r="J188" s="11" t="str">
        <f t="shared" si="8"/>
        <v>OK</v>
      </c>
      <c r="K188" s="11" t="str">
        <f>IF(COUNTIF(Raw_Data!$A$2:A188,Raw_Data!A188)&gt;1,"DUP","UNIQUE")</f>
        <v>UNIQUE</v>
      </c>
      <c r="L188" s="11" t="str">
        <f>IF(Raw_Data!B188&lt;&gt;Thresholds!$E$1,"STALE","CURRENT")</f>
        <v>CURRENT</v>
      </c>
    </row>
    <row r="189" spans="1:12" x14ac:dyDescent="0.3">
      <c r="A189" s="15" t="str">
        <f>Raw_Data!A189</f>
        <v>P0185</v>
      </c>
      <c r="B189" s="15" t="str">
        <f>Raw_Data!C189</f>
        <v>Singapore Equities</v>
      </c>
      <c r="C189" s="11" t="str">
        <f>IFERROR(INDEX(Thresholds!$A$2:$A$5,MATCH(TRIM(Raw_Data!D189),Thresholds!$A$2:$A$5,0)),"UNMAPPED")</f>
        <v>Equity</v>
      </c>
      <c r="D189" s="16">
        <f>Raw_Data!G189</f>
        <v>19545</v>
      </c>
      <c r="E189" s="17">
        <f>Raw_Data!H189</f>
        <v>63.34</v>
      </c>
      <c r="F189" s="14">
        <f>IF(Raw_Data!I189="","",Raw_Data!I189)</f>
        <v>62.46</v>
      </c>
      <c r="G189" s="18">
        <f t="shared" si="6"/>
        <v>1.4089016970861392E-2</v>
      </c>
      <c r="H189" s="19">
        <f>IFERROR(INDEX(Thresholds!$B$2:$B$5,MATCH(C189,Thresholds!$A$2:$A$5,0)),"")</f>
        <v>0.01</v>
      </c>
      <c r="I189" s="20">
        <f t="shared" si="7"/>
        <v>17199.600000000049</v>
      </c>
      <c r="J189" s="11" t="str">
        <f t="shared" si="8"/>
        <v>BREACH</v>
      </c>
      <c r="K189" s="11" t="str">
        <f>IF(COUNTIF(Raw_Data!$A$2:A189,Raw_Data!A189)&gt;1,"DUP","UNIQUE")</f>
        <v>UNIQUE</v>
      </c>
      <c r="L189" s="11" t="str">
        <f>IF(Raw_Data!B189&lt;&gt;Thresholds!$E$1,"STALE","CURRENT")</f>
        <v>CURRENT</v>
      </c>
    </row>
    <row r="190" spans="1:12" x14ac:dyDescent="0.3">
      <c r="A190" s="15" t="str">
        <f>Raw_Data!A190</f>
        <v>P0186</v>
      </c>
      <c r="B190" s="15" t="str">
        <f>Raw_Data!C190</f>
        <v>London Rates</v>
      </c>
      <c r="C190" s="11" t="str">
        <f>IFERROR(INDEX(Thresholds!$A$2:$A$5,MATCH(TRIM(Raw_Data!D190),Thresholds!$A$2:$A$5,0)),"UNMAPPED")</f>
        <v>Government Bond</v>
      </c>
      <c r="D190" s="16">
        <f>Raw_Data!G190</f>
        <v>3339</v>
      </c>
      <c r="E190" s="17">
        <f>Raw_Data!H190</f>
        <v>101.181</v>
      </c>
      <c r="F190" s="14">
        <f>IF(Raw_Data!I190="","",Raw_Data!I190)</f>
        <v>101.02200000000001</v>
      </c>
      <c r="G190" s="18">
        <f t="shared" si="6"/>
        <v>1.5739145928608798E-3</v>
      </c>
      <c r="H190" s="19">
        <f>IFERROR(INDEX(Thresholds!$B$2:$B$5,MATCH(C190,Thresholds!$A$2:$A$5,0)),"")</f>
        <v>2.5000000000000001E-3</v>
      </c>
      <c r="I190" s="20">
        <f t="shared" si="7"/>
        <v>530.90099999997267</v>
      </c>
      <c r="J190" s="11" t="str">
        <f t="shared" si="8"/>
        <v>OK</v>
      </c>
      <c r="K190" s="11" t="str">
        <f>IF(COUNTIF(Raw_Data!$A$2:A190,Raw_Data!A190)&gt;1,"DUP","UNIQUE")</f>
        <v>UNIQUE</v>
      </c>
      <c r="L190" s="11" t="str">
        <f>IF(Raw_Data!B190&lt;&gt;Thresholds!$E$1,"STALE","CURRENT")</f>
        <v>CURRENT</v>
      </c>
    </row>
    <row r="191" spans="1:12" x14ac:dyDescent="0.3">
      <c r="A191" s="15" t="str">
        <f>Raw_Data!A191</f>
        <v>P0187</v>
      </c>
      <c r="B191" s="15" t="str">
        <f>Raw_Data!C191</f>
        <v>Zurich Equities</v>
      </c>
      <c r="C191" s="11" t="str">
        <f>IFERROR(INDEX(Thresholds!$A$2:$A$5,MATCH(TRIM(Raw_Data!D191),Thresholds!$A$2:$A$5,0)),"UNMAPPED")</f>
        <v>Equity</v>
      </c>
      <c r="D191" s="16">
        <f>Raw_Data!G191</f>
        <v>7607</v>
      </c>
      <c r="E191" s="17">
        <f>Raw_Data!H191</f>
        <v>210.48</v>
      </c>
      <c r="F191" s="14">
        <f>IF(Raw_Data!I191="","",Raw_Data!I191)</f>
        <v>211.15</v>
      </c>
      <c r="G191" s="18">
        <f t="shared" si="6"/>
        <v>-3.1730996921620455E-3</v>
      </c>
      <c r="H191" s="19">
        <f>IFERROR(INDEX(Thresholds!$B$2:$B$5,MATCH(C191,Thresholds!$A$2:$A$5,0)),"")</f>
        <v>0.01</v>
      </c>
      <c r="I191" s="20">
        <f t="shared" si="7"/>
        <v>-5096.6900000001215</v>
      </c>
      <c r="J191" s="11" t="str">
        <f t="shared" si="8"/>
        <v>OK</v>
      </c>
      <c r="K191" s="11" t="str">
        <f>IF(COUNTIF(Raw_Data!$A$2:A191,Raw_Data!A191)&gt;1,"DUP","UNIQUE")</f>
        <v>UNIQUE</v>
      </c>
      <c r="L191" s="11" t="str">
        <f>IF(Raw_Data!B191&lt;&gt;Thresholds!$E$1,"STALE","CURRENT")</f>
        <v>CURRENT</v>
      </c>
    </row>
    <row r="192" spans="1:12" x14ac:dyDescent="0.3">
      <c r="A192" s="15" t="str">
        <f>Raw_Data!A192</f>
        <v>P0188</v>
      </c>
      <c r="B192" s="15" t="str">
        <f>Raw_Data!C192</f>
        <v>New York Credit</v>
      </c>
      <c r="C192" s="11" t="str">
        <f>IFERROR(INDEX(Thresholds!$A$2:$A$5,MATCH(TRIM(Raw_Data!D192),Thresholds!$A$2:$A$5,0)),"UNMAPPED")</f>
        <v>Corporate Bond</v>
      </c>
      <c r="D192" s="16">
        <f>Raw_Data!G192</f>
        <v>17692</v>
      </c>
      <c r="E192" s="17">
        <f>Raw_Data!H192</f>
        <v>97.617999999999995</v>
      </c>
      <c r="F192" s="14">
        <f>IF(Raw_Data!I192="","",Raw_Data!I192)</f>
        <v>97.414000000000001</v>
      </c>
      <c r="G192" s="18">
        <f t="shared" si="6"/>
        <v>2.0941548442728304E-3</v>
      </c>
      <c r="H192" s="19">
        <f>IFERROR(INDEX(Thresholds!$B$2:$B$5,MATCH(C192,Thresholds!$A$2:$A$5,0)),"")</f>
        <v>5.0000000000000001E-3</v>
      </c>
      <c r="I192" s="20">
        <f t="shared" si="7"/>
        <v>3609.1679999998855</v>
      </c>
      <c r="J192" s="11" t="str">
        <f t="shared" si="8"/>
        <v>OK</v>
      </c>
      <c r="K192" s="11" t="str">
        <f>IF(COUNTIF(Raw_Data!$A$2:A192,Raw_Data!A192)&gt;1,"DUP","UNIQUE")</f>
        <v>UNIQUE</v>
      </c>
      <c r="L192" s="11" t="str">
        <f>IF(Raw_Data!B192&lt;&gt;Thresholds!$E$1,"STALE","CURRENT")</f>
        <v>CURRENT</v>
      </c>
    </row>
    <row r="193" spans="1:12" x14ac:dyDescent="0.3">
      <c r="A193" s="15" t="str">
        <f>Raw_Data!A193</f>
        <v>P0189</v>
      </c>
      <c r="B193" s="15" t="str">
        <f>Raw_Data!C193</f>
        <v>London Rates</v>
      </c>
      <c r="C193" s="11" t="str">
        <f>IFERROR(INDEX(Thresholds!$A$2:$A$5,MATCH(TRIM(Raw_Data!D193),Thresholds!$A$2:$A$5,0)),"UNMAPPED")</f>
        <v>Government Bond</v>
      </c>
      <c r="D193" s="16">
        <f>Raw_Data!G193</f>
        <v>7260</v>
      </c>
      <c r="E193" s="17">
        <f>Raw_Data!H193</f>
        <v>100.133</v>
      </c>
      <c r="F193" s="14">
        <f>IF(Raw_Data!I193="","",Raw_Data!I193)</f>
        <v>100.25</v>
      </c>
      <c r="G193" s="18">
        <f t="shared" si="6"/>
        <v>-1.1670822942643833E-3</v>
      </c>
      <c r="H193" s="19">
        <f>IFERROR(INDEX(Thresholds!$B$2:$B$5,MATCH(C193,Thresholds!$A$2:$A$5,0)),"")</f>
        <v>2.5000000000000001E-3</v>
      </c>
      <c r="I193" s="20">
        <f t="shared" si="7"/>
        <v>-849.42000000003213</v>
      </c>
      <c r="J193" s="11" t="str">
        <f t="shared" si="8"/>
        <v>OK</v>
      </c>
      <c r="K193" s="11" t="str">
        <f>IF(COUNTIF(Raw_Data!$A$2:A193,Raw_Data!A193)&gt;1,"DUP","UNIQUE")</f>
        <v>UNIQUE</v>
      </c>
      <c r="L193" s="11" t="str">
        <f>IF(Raw_Data!B193&lt;&gt;Thresholds!$E$1,"STALE","CURRENT")</f>
        <v>CURRENT</v>
      </c>
    </row>
    <row r="194" spans="1:12" x14ac:dyDescent="0.3">
      <c r="A194" s="15" t="str">
        <f>Raw_Data!A194</f>
        <v>P0190</v>
      </c>
      <c r="B194" s="15" t="str">
        <f>Raw_Data!C194</f>
        <v>London Credit</v>
      </c>
      <c r="C194" s="11" t="str">
        <f>IFERROR(INDEX(Thresholds!$A$2:$A$5,MATCH(TRIM(Raw_Data!D194),Thresholds!$A$2:$A$5,0)),"UNMAPPED")</f>
        <v>Corporate Bond</v>
      </c>
      <c r="D194" s="16">
        <f>Raw_Data!G194</f>
        <v>9559</v>
      </c>
      <c r="E194" s="17">
        <f>Raw_Data!H194</f>
        <v>106.033</v>
      </c>
      <c r="F194" s="14">
        <f>IF(Raw_Data!I194="","",Raw_Data!I194)</f>
        <v>106.23099999999999</v>
      </c>
      <c r="G194" s="18">
        <f t="shared" ref="G194:G257" si="9">IF(F194="","",(E194-F194)/F194)</f>
        <v>-1.8638627142735483E-3</v>
      </c>
      <c r="H194" s="19">
        <f>IFERROR(INDEX(Thresholds!$B$2:$B$5,MATCH(C194,Thresholds!$A$2:$A$5,0)),"")</f>
        <v>5.0000000000000001E-3</v>
      </c>
      <c r="I194" s="20">
        <f t="shared" ref="I194:I255" si="10">IF(F194="","",D194*(E194-F194))</f>
        <v>-1892.6819999999359</v>
      </c>
      <c r="J194" s="11" t="str">
        <f t="shared" ref="J194:J255" si="11">IF(C194="UNMAPPED","UNMAPPED ASSET CLASS",IF(F194="","NO INDEPENDENT PRICE",IF(ABS(G194)&gt;H194,"BREACH","OK")))</f>
        <v>OK</v>
      </c>
      <c r="K194" s="11" t="str">
        <f>IF(COUNTIF(Raw_Data!$A$2:A194,Raw_Data!A194)&gt;1,"DUP","UNIQUE")</f>
        <v>UNIQUE</v>
      </c>
      <c r="L194" s="11" t="str">
        <f>IF(Raw_Data!B194&lt;&gt;Thresholds!$E$1,"STALE","CURRENT")</f>
        <v>CURRENT</v>
      </c>
    </row>
    <row r="195" spans="1:12" x14ac:dyDescent="0.3">
      <c r="A195" s="15" t="str">
        <f>Raw_Data!A195</f>
        <v>P0191</v>
      </c>
      <c r="B195" s="15" t="str">
        <f>Raw_Data!C195</f>
        <v>New York Credit</v>
      </c>
      <c r="C195" s="11" t="str">
        <f>IFERROR(INDEX(Thresholds!$A$2:$A$5,MATCH(TRIM(Raw_Data!D195),Thresholds!$A$2:$A$5,0)),"UNMAPPED")</f>
        <v>Corporate Bond</v>
      </c>
      <c r="D195" s="16">
        <f>Raw_Data!G195</f>
        <v>7498</v>
      </c>
      <c r="E195" s="17">
        <f>Raw_Data!H195</f>
        <v>107.06399999999999</v>
      </c>
      <c r="F195" s="14">
        <f>IF(Raw_Data!I195="","",Raw_Data!I195)</f>
        <v>107.333</v>
      </c>
      <c r="G195" s="18">
        <f t="shared" si="9"/>
        <v>-2.5062189634129806E-3</v>
      </c>
      <c r="H195" s="19">
        <f>IFERROR(INDEX(Thresholds!$B$2:$B$5,MATCH(C195,Thresholds!$A$2:$A$5,0)),"")</f>
        <v>5.0000000000000001E-3</v>
      </c>
      <c r="I195" s="20">
        <f t="shared" si="10"/>
        <v>-2016.9620000000409</v>
      </c>
      <c r="J195" s="11" t="str">
        <f t="shared" si="11"/>
        <v>OK</v>
      </c>
      <c r="K195" s="11" t="str">
        <f>IF(COUNTIF(Raw_Data!$A$2:A195,Raw_Data!A195)&gt;1,"DUP","UNIQUE")</f>
        <v>UNIQUE</v>
      </c>
      <c r="L195" s="11" t="str">
        <f>IF(Raw_Data!B195&lt;&gt;Thresholds!$E$1,"STALE","CURRENT")</f>
        <v>CURRENT</v>
      </c>
    </row>
    <row r="196" spans="1:12" x14ac:dyDescent="0.3">
      <c r="A196" s="15" t="str">
        <f>Raw_Data!A196</f>
        <v>P0192</v>
      </c>
      <c r="B196" s="15" t="str">
        <f>Raw_Data!C196</f>
        <v>London Rates</v>
      </c>
      <c r="C196" s="11" t="str">
        <f>IFERROR(INDEX(Thresholds!$A$2:$A$5,MATCH(TRIM(Raw_Data!D196),Thresholds!$A$2:$A$5,0)),"UNMAPPED")</f>
        <v>Government Bond</v>
      </c>
      <c r="D196" s="16">
        <f>Raw_Data!G196</f>
        <v>15490</v>
      </c>
      <c r="E196" s="17">
        <f>Raw_Data!H196</f>
        <v>99.763999999999996</v>
      </c>
      <c r="F196" s="14">
        <f>IF(Raw_Data!I196="","",Raw_Data!I196)</f>
        <v>99.834000000000003</v>
      </c>
      <c r="G196" s="18">
        <f t="shared" si="9"/>
        <v>-7.0116393212740541E-4</v>
      </c>
      <c r="H196" s="19">
        <f>IFERROR(INDEX(Thresholds!$B$2:$B$5,MATCH(C196,Thresholds!$A$2:$A$5,0)),"")</f>
        <v>2.5000000000000001E-3</v>
      </c>
      <c r="I196" s="20">
        <f t="shared" si="10"/>
        <v>-1084.3000000001146</v>
      </c>
      <c r="J196" s="11" t="str">
        <f t="shared" si="11"/>
        <v>OK</v>
      </c>
      <c r="K196" s="11" t="str">
        <f>IF(COUNTIF(Raw_Data!$A$2:A196,Raw_Data!A196)&gt;1,"DUP","UNIQUE")</f>
        <v>UNIQUE</v>
      </c>
      <c r="L196" s="11" t="str">
        <f>IF(Raw_Data!B196&lt;&gt;Thresholds!$E$1,"STALE","CURRENT")</f>
        <v>CURRENT</v>
      </c>
    </row>
    <row r="197" spans="1:12" x14ac:dyDescent="0.3">
      <c r="A197" s="15" t="str">
        <f>Raw_Data!A197</f>
        <v>P0193</v>
      </c>
      <c r="B197" s="15" t="str">
        <f>Raw_Data!C197</f>
        <v>New York Rates</v>
      </c>
      <c r="C197" s="11" t="str">
        <f>IFERROR(INDEX(Thresholds!$A$2:$A$5,MATCH(TRIM(Raw_Data!D197),Thresholds!$A$2:$A$5,0)),"UNMAPPED")</f>
        <v>Government Bond</v>
      </c>
      <c r="D197" s="16">
        <f>Raw_Data!G197</f>
        <v>14189</v>
      </c>
      <c r="E197" s="17">
        <f>Raw_Data!H197</f>
        <v>99.513000000000005</v>
      </c>
      <c r="F197" s="14">
        <f>IF(Raw_Data!I197="","",Raw_Data!I197)</f>
        <v>99.992999999999995</v>
      </c>
      <c r="G197" s="18">
        <f t="shared" si="9"/>
        <v>-4.8003360235215446E-3</v>
      </c>
      <c r="H197" s="19">
        <f>IFERROR(INDEX(Thresholds!$B$2:$B$5,MATCH(C197,Thresholds!$A$2:$A$5,0)),"")</f>
        <v>2.5000000000000001E-3</v>
      </c>
      <c r="I197" s="20">
        <f t="shared" si="10"/>
        <v>-6810.7199999998547</v>
      </c>
      <c r="J197" s="11" t="str">
        <f t="shared" si="11"/>
        <v>BREACH</v>
      </c>
      <c r="K197" s="11" t="str">
        <f>IF(COUNTIF(Raw_Data!$A$2:A197,Raw_Data!A197)&gt;1,"DUP","UNIQUE")</f>
        <v>UNIQUE</v>
      </c>
      <c r="L197" s="11" t="str">
        <f>IF(Raw_Data!B197&lt;&gt;Thresholds!$E$1,"STALE","CURRENT")</f>
        <v>CURRENT</v>
      </c>
    </row>
    <row r="198" spans="1:12" x14ac:dyDescent="0.3">
      <c r="A198" s="15" t="str">
        <f>Raw_Data!A198</f>
        <v>P0194</v>
      </c>
      <c r="B198" s="15" t="str">
        <f>Raw_Data!C198</f>
        <v>Singapore FX</v>
      </c>
      <c r="C198" s="11" t="str">
        <f>IFERROR(INDEX(Thresholds!$A$2:$A$5,MATCH(TRIM(Raw_Data!D198),Thresholds!$A$2:$A$5,0)),"UNMAPPED")</f>
        <v>FX Forward</v>
      </c>
      <c r="D198" s="16">
        <f>Raw_Data!G198</f>
        <v>2888708</v>
      </c>
      <c r="E198" s="17">
        <f>Raw_Data!H198</f>
        <v>1.46526</v>
      </c>
      <c r="F198" s="14">
        <f>IF(Raw_Data!I198="","",Raw_Data!I198)</f>
        <v>1.4676499999999999</v>
      </c>
      <c r="G198" s="18">
        <f t="shared" si="9"/>
        <v>-1.6284536503934129E-3</v>
      </c>
      <c r="H198" s="19">
        <f>IFERROR(INDEX(Thresholds!$B$2:$B$5,MATCH(C198,Thresholds!$A$2:$A$5,0)),"")</f>
        <v>3.0000000000000001E-3</v>
      </c>
      <c r="I198" s="20">
        <f t="shared" si="10"/>
        <v>-6904.0121199996884</v>
      </c>
      <c r="J198" s="11" t="str">
        <f t="shared" si="11"/>
        <v>OK</v>
      </c>
      <c r="K198" s="11" t="str">
        <f>IF(COUNTIF(Raw_Data!$A$2:A198,Raw_Data!A198)&gt;1,"DUP","UNIQUE")</f>
        <v>UNIQUE</v>
      </c>
      <c r="L198" s="11" t="str">
        <f>IF(Raw_Data!B198&lt;&gt;Thresholds!$E$1,"STALE","CURRENT")</f>
        <v>CURRENT</v>
      </c>
    </row>
    <row r="199" spans="1:12" x14ac:dyDescent="0.3">
      <c r="A199" s="15" t="str">
        <f>Raw_Data!A199</f>
        <v>P0195</v>
      </c>
      <c r="B199" s="15" t="str">
        <f>Raw_Data!C199</f>
        <v>New York Rates</v>
      </c>
      <c r="C199" s="11" t="str">
        <f>IFERROR(INDEX(Thresholds!$A$2:$A$5,MATCH(TRIM(Raw_Data!D199),Thresholds!$A$2:$A$5,0)),"UNMAPPED")</f>
        <v>Government Bond</v>
      </c>
      <c r="D199" s="16">
        <f>Raw_Data!G199</f>
        <v>7670</v>
      </c>
      <c r="E199" s="17">
        <f>Raw_Data!H199</f>
        <v>102.08</v>
      </c>
      <c r="F199" s="14">
        <f>IF(Raw_Data!I199="","",Raw_Data!I199)</f>
        <v>101.991</v>
      </c>
      <c r="G199" s="18">
        <f t="shared" si="9"/>
        <v>8.7262601602100813E-4</v>
      </c>
      <c r="H199" s="19">
        <f>IFERROR(INDEX(Thresholds!$B$2:$B$5,MATCH(C199,Thresholds!$A$2:$A$5,0)),"")</f>
        <v>2.5000000000000001E-3</v>
      </c>
      <c r="I199" s="20">
        <f t="shared" si="10"/>
        <v>682.62999999998954</v>
      </c>
      <c r="J199" s="11" t="str">
        <f t="shared" si="11"/>
        <v>OK</v>
      </c>
      <c r="K199" s="11" t="str">
        <f>IF(COUNTIF(Raw_Data!$A$2:A199,Raw_Data!A199)&gt;1,"DUP","UNIQUE")</f>
        <v>UNIQUE</v>
      </c>
      <c r="L199" s="11" t="str">
        <f>IF(Raw_Data!B199&lt;&gt;Thresholds!$E$1,"STALE","CURRENT")</f>
        <v>CURRENT</v>
      </c>
    </row>
    <row r="200" spans="1:12" x14ac:dyDescent="0.3">
      <c r="A200" s="15" t="str">
        <f>Raw_Data!A200</f>
        <v>P0196</v>
      </c>
      <c r="B200" s="15" t="str">
        <f>Raw_Data!C200</f>
        <v>London Credit</v>
      </c>
      <c r="C200" s="11" t="str">
        <f>IFERROR(INDEX(Thresholds!$A$2:$A$5,MATCH(TRIM(Raw_Data!D200),Thresholds!$A$2:$A$5,0)),"UNMAPPED")</f>
        <v>Corporate Bond</v>
      </c>
      <c r="D200" s="16">
        <f>Raw_Data!G200</f>
        <v>3274</v>
      </c>
      <c r="E200" s="17">
        <f>Raw_Data!H200</f>
        <v>92.379000000000005</v>
      </c>
      <c r="F200" s="14">
        <f>IF(Raw_Data!I200="","",Raw_Data!I200)</f>
        <v>92.307000000000002</v>
      </c>
      <c r="G200" s="18">
        <f t="shared" si="9"/>
        <v>7.800058500439049E-4</v>
      </c>
      <c r="H200" s="19">
        <f>IFERROR(INDEX(Thresholds!$B$2:$B$5,MATCH(C200,Thresholds!$A$2:$A$5,0)),"")</f>
        <v>5.0000000000000001E-3</v>
      </c>
      <c r="I200" s="20">
        <f t="shared" si="10"/>
        <v>235.72800000000893</v>
      </c>
      <c r="J200" s="11" t="str">
        <f t="shared" si="11"/>
        <v>OK</v>
      </c>
      <c r="K200" s="11" t="str">
        <f>IF(COUNTIF(Raw_Data!$A$2:A200,Raw_Data!A200)&gt;1,"DUP","UNIQUE")</f>
        <v>UNIQUE</v>
      </c>
      <c r="L200" s="11" t="str">
        <f>IF(Raw_Data!B200&lt;&gt;Thresholds!$E$1,"STALE","CURRENT")</f>
        <v>CURRENT</v>
      </c>
    </row>
    <row r="201" spans="1:12" x14ac:dyDescent="0.3">
      <c r="A201" s="15" t="str">
        <f>Raw_Data!A201</f>
        <v>P0197</v>
      </c>
      <c r="B201" s="15" t="str">
        <f>Raw_Data!C201</f>
        <v>London Credit</v>
      </c>
      <c r="C201" s="11" t="str">
        <f>IFERROR(INDEX(Thresholds!$A$2:$A$5,MATCH(TRIM(Raw_Data!D201),Thresholds!$A$2:$A$5,0)),"UNMAPPED")</f>
        <v>Corporate Bond</v>
      </c>
      <c r="D201" s="16">
        <f>Raw_Data!G201</f>
        <v>5835</v>
      </c>
      <c r="E201" s="17">
        <f>Raw_Data!H201</f>
        <v>103.494</v>
      </c>
      <c r="F201" s="14">
        <f>IF(Raw_Data!I201="","",Raw_Data!I201)</f>
        <v>103.68899999999999</v>
      </c>
      <c r="G201" s="18">
        <f t="shared" si="9"/>
        <v>-1.8806237884442245E-3</v>
      </c>
      <c r="H201" s="19">
        <f>IFERROR(INDEX(Thresholds!$B$2:$B$5,MATCH(C201,Thresholds!$A$2:$A$5,0)),"")</f>
        <v>5.0000000000000001E-3</v>
      </c>
      <c r="I201" s="20">
        <f t="shared" si="10"/>
        <v>-1137.8249999999603</v>
      </c>
      <c r="J201" s="11" t="str">
        <f t="shared" si="11"/>
        <v>OK</v>
      </c>
      <c r="K201" s="11" t="str">
        <f>IF(COUNTIF(Raw_Data!$A$2:A201,Raw_Data!A201)&gt;1,"DUP","UNIQUE")</f>
        <v>UNIQUE</v>
      </c>
      <c r="L201" s="11" t="str">
        <f>IF(Raw_Data!B201&lt;&gt;Thresholds!$E$1,"STALE","CURRENT")</f>
        <v>CURRENT</v>
      </c>
    </row>
    <row r="202" spans="1:12" x14ac:dyDescent="0.3">
      <c r="A202" s="15" t="str">
        <f>Raw_Data!A202</f>
        <v>P0198</v>
      </c>
      <c r="B202" s="15" t="str">
        <f>Raw_Data!C202</f>
        <v>Singapore Equities</v>
      </c>
      <c r="C202" s="11" t="str">
        <f>IFERROR(INDEX(Thresholds!$A$2:$A$5,MATCH(TRIM(Raw_Data!D202),Thresholds!$A$2:$A$5,0)),"UNMAPPED")</f>
        <v>Equity</v>
      </c>
      <c r="D202" s="16">
        <f>Raw_Data!G202</f>
        <v>33370</v>
      </c>
      <c r="E202" s="17">
        <f>Raw_Data!H202</f>
        <v>255.67</v>
      </c>
      <c r="F202" s="14">
        <f>IF(Raw_Data!I202="","",Raw_Data!I202)</f>
        <v>257.2</v>
      </c>
      <c r="G202" s="18">
        <f t="shared" si="9"/>
        <v>-5.9486780715396629E-3</v>
      </c>
      <c r="H202" s="19">
        <f>IFERROR(INDEX(Thresholds!$B$2:$B$5,MATCH(C202,Thresholds!$A$2:$A$5,0)),"")</f>
        <v>0.01</v>
      </c>
      <c r="I202" s="20">
        <f t="shared" si="10"/>
        <v>-51056.100000000035</v>
      </c>
      <c r="J202" s="11" t="str">
        <f t="shared" si="11"/>
        <v>OK</v>
      </c>
      <c r="K202" s="11" t="str">
        <f>IF(COUNTIF(Raw_Data!$A$2:A202,Raw_Data!A202)&gt;1,"DUP","UNIQUE")</f>
        <v>UNIQUE</v>
      </c>
      <c r="L202" s="11" t="str">
        <f>IF(Raw_Data!B202&lt;&gt;Thresholds!$E$1,"STALE","CURRENT")</f>
        <v>CURRENT</v>
      </c>
    </row>
    <row r="203" spans="1:12" x14ac:dyDescent="0.3">
      <c r="A203" s="15" t="str">
        <f>Raw_Data!A203</f>
        <v>P0199</v>
      </c>
      <c r="B203" s="15" t="str">
        <f>Raw_Data!C203</f>
        <v>New York Credit</v>
      </c>
      <c r="C203" s="11" t="str">
        <f>IFERROR(INDEX(Thresholds!$A$2:$A$5,MATCH(TRIM(Raw_Data!D203),Thresholds!$A$2:$A$5,0)),"UNMAPPED")</f>
        <v>Corporate Bond</v>
      </c>
      <c r="D203" s="16">
        <f>Raw_Data!G203</f>
        <v>16128</v>
      </c>
      <c r="E203" s="17">
        <f>Raw_Data!H203</f>
        <v>94.171000000000006</v>
      </c>
      <c r="F203" s="14">
        <f>IF(Raw_Data!I203="","",Raw_Data!I203)</f>
        <v>94.361000000000004</v>
      </c>
      <c r="G203" s="18">
        <f t="shared" si="9"/>
        <v>-2.0135437309905333E-3</v>
      </c>
      <c r="H203" s="19">
        <f>IFERROR(INDEX(Thresholds!$B$2:$B$5,MATCH(C203,Thresholds!$A$2:$A$5,0)),"")</f>
        <v>5.0000000000000001E-3</v>
      </c>
      <c r="I203" s="20">
        <f t="shared" si="10"/>
        <v>-3064.3199999999633</v>
      </c>
      <c r="J203" s="11" t="str">
        <f t="shared" si="11"/>
        <v>OK</v>
      </c>
      <c r="K203" s="11" t="str">
        <f>IF(COUNTIF(Raw_Data!$A$2:A203,Raw_Data!A203)&gt;1,"DUP","UNIQUE")</f>
        <v>UNIQUE</v>
      </c>
      <c r="L203" s="11" t="str">
        <f>IF(Raw_Data!B203&lt;&gt;Thresholds!$E$1,"STALE","CURRENT")</f>
        <v>CURRENT</v>
      </c>
    </row>
    <row r="204" spans="1:12" x14ac:dyDescent="0.3">
      <c r="A204" s="15" t="str">
        <f>Raw_Data!A204</f>
        <v>P0200</v>
      </c>
      <c r="B204" s="15" t="str">
        <f>Raw_Data!C204</f>
        <v>Zurich Equities</v>
      </c>
      <c r="C204" s="11" t="str">
        <f>IFERROR(INDEX(Thresholds!$A$2:$A$5,MATCH(TRIM(Raw_Data!D204),Thresholds!$A$2:$A$5,0)),"UNMAPPED")</f>
        <v>Equity</v>
      </c>
      <c r="D204" s="16">
        <f>Raw_Data!G204</f>
        <v>20690</v>
      </c>
      <c r="E204" s="17">
        <f>Raw_Data!H204</f>
        <v>207.52</v>
      </c>
      <c r="F204" s="14">
        <f>IF(Raw_Data!I204="","",Raw_Data!I204)</f>
        <v>208.16</v>
      </c>
      <c r="G204" s="18">
        <f t="shared" si="9"/>
        <v>-3.0745580322827939E-3</v>
      </c>
      <c r="H204" s="19">
        <f>IFERROR(INDEX(Thresholds!$B$2:$B$5,MATCH(C204,Thresholds!$A$2:$A$5,0)),"")</f>
        <v>0.01</v>
      </c>
      <c r="I204" s="20">
        <f t="shared" si="10"/>
        <v>-13241.599999999718</v>
      </c>
      <c r="J204" s="11" t="str">
        <f t="shared" si="11"/>
        <v>OK</v>
      </c>
      <c r="K204" s="11" t="str">
        <f>IF(COUNTIF(Raw_Data!$A$2:A204,Raw_Data!A204)&gt;1,"DUP","UNIQUE")</f>
        <v>UNIQUE</v>
      </c>
      <c r="L204" s="11" t="str">
        <f>IF(Raw_Data!B204&lt;&gt;Thresholds!$E$1,"STALE","CURRENT")</f>
        <v>CURRENT</v>
      </c>
    </row>
    <row r="205" spans="1:12" x14ac:dyDescent="0.3">
      <c r="A205" s="15" t="str">
        <f>Raw_Data!A205</f>
        <v>P0201</v>
      </c>
      <c r="B205" s="15" t="str">
        <f>Raw_Data!C205</f>
        <v>Zurich Equities</v>
      </c>
      <c r="C205" s="11" t="str">
        <f>IFERROR(INDEX(Thresholds!$A$2:$A$5,MATCH(TRIM(Raw_Data!D205),Thresholds!$A$2:$A$5,0)),"UNMAPPED")</f>
        <v>Equity</v>
      </c>
      <c r="D205" s="16">
        <f>Raw_Data!G205</f>
        <v>47025</v>
      </c>
      <c r="E205" s="17">
        <f>Raw_Data!H205</f>
        <v>177.15</v>
      </c>
      <c r="F205" s="14">
        <f>IF(Raw_Data!I205="","",Raw_Data!I205)</f>
        <v>177.07</v>
      </c>
      <c r="G205" s="18">
        <f t="shared" si="9"/>
        <v>4.5179872366867625E-4</v>
      </c>
      <c r="H205" s="19">
        <f>IFERROR(INDEX(Thresholds!$B$2:$B$5,MATCH(C205,Thresholds!$A$2:$A$5,0)),"")</f>
        <v>0.01</v>
      </c>
      <c r="I205" s="20">
        <f t="shared" si="10"/>
        <v>3762.000000000588</v>
      </c>
      <c r="J205" s="11" t="str">
        <f t="shared" si="11"/>
        <v>OK</v>
      </c>
      <c r="K205" s="11" t="str">
        <f>IF(COUNTIF(Raw_Data!$A$2:A205,Raw_Data!A205)&gt;1,"DUP","UNIQUE")</f>
        <v>UNIQUE</v>
      </c>
      <c r="L205" s="11" t="str">
        <f>IF(Raw_Data!B205&lt;&gt;Thresholds!$E$1,"STALE","CURRENT")</f>
        <v>CURRENT</v>
      </c>
    </row>
    <row r="206" spans="1:12" x14ac:dyDescent="0.3">
      <c r="A206" s="15" t="str">
        <f>Raw_Data!A206</f>
        <v>P0202</v>
      </c>
      <c r="B206" s="15" t="str">
        <f>Raw_Data!C206</f>
        <v>Zurich FX</v>
      </c>
      <c r="C206" s="11" t="str">
        <f>IFERROR(INDEX(Thresholds!$A$2:$A$5,MATCH(TRIM(Raw_Data!D206),Thresholds!$A$2:$A$5,0)),"UNMAPPED")</f>
        <v>FX Forward</v>
      </c>
      <c r="D206" s="16">
        <f>Raw_Data!G206</f>
        <v>3545831</v>
      </c>
      <c r="E206" s="17">
        <f>Raw_Data!H206</f>
        <v>1.58077</v>
      </c>
      <c r="F206" s="14">
        <f>IF(Raw_Data!I206="","",Raw_Data!I206)</f>
        <v>1.5806100000000001</v>
      </c>
      <c r="G206" s="18">
        <f t="shared" si="9"/>
        <v>1.0122674157441618E-4</v>
      </c>
      <c r="H206" s="19">
        <f>IFERROR(INDEX(Thresholds!$B$2:$B$5,MATCH(C206,Thresholds!$A$2:$A$5,0)),"")</f>
        <v>3.0000000000000001E-3</v>
      </c>
      <c r="I206" s="20">
        <f t="shared" si="10"/>
        <v>567.33295999978009</v>
      </c>
      <c r="J206" s="11" t="str">
        <f t="shared" si="11"/>
        <v>OK</v>
      </c>
      <c r="K206" s="11" t="str">
        <f>IF(COUNTIF(Raw_Data!$A$2:A206,Raw_Data!A206)&gt;1,"DUP","UNIQUE")</f>
        <v>UNIQUE</v>
      </c>
      <c r="L206" s="11" t="str">
        <f>IF(Raw_Data!B206&lt;&gt;Thresholds!$E$1,"STALE","CURRENT")</f>
        <v>CURRENT</v>
      </c>
    </row>
    <row r="207" spans="1:12" x14ac:dyDescent="0.3">
      <c r="A207" s="15" t="str">
        <f>Raw_Data!A207</f>
        <v>P0203</v>
      </c>
      <c r="B207" s="15" t="str">
        <f>Raw_Data!C207</f>
        <v>Singapore FX</v>
      </c>
      <c r="C207" s="11" t="str">
        <f>IFERROR(INDEX(Thresholds!$A$2:$A$5,MATCH(TRIM(Raw_Data!D207),Thresholds!$A$2:$A$5,0)),"UNMAPPED")</f>
        <v>FX Forward</v>
      </c>
      <c r="D207" s="16">
        <f>Raw_Data!G207</f>
        <v>3932216</v>
      </c>
      <c r="E207" s="17">
        <f>Raw_Data!H207</f>
        <v>1.2903100000000001</v>
      </c>
      <c r="F207" s="14">
        <f>IF(Raw_Data!I207="","",Raw_Data!I207)</f>
        <v>1.2922499999999999</v>
      </c>
      <c r="G207" s="18">
        <f t="shared" si="9"/>
        <v>-1.5012574966143013E-3</v>
      </c>
      <c r="H207" s="19">
        <f>IFERROR(INDEX(Thresholds!$B$2:$B$5,MATCH(C207,Thresholds!$A$2:$A$5,0)),"")</f>
        <v>3.0000000000000001E-3</v>
      </c>
      <c r="I207" s="20">
        <f t="shared" si="10"/>
        <v>-7628.4990399993349</v>
      </c>
      <c r="J207" s="11" t="str">
        <f t="shared" si="11"/>
        <v>OK</v>
      </c>
      <c r="K207" s="11" t="str">
        <f>IF(COUNTIF(Raw_Data!$A$2:A207,Raw_Data!A207)&gt;1,"DUP","UNIQUE")</f>
        <v>UNIQUE</v>
      </c>
      <c r="L207" s="11" t="str">
        <f>IF(Raw_Data!B207&lt;&gt;Thresholds!$E$1,"STALE","CURRENT")</f>
        <v>CURRENT</v>
      </c>
    </row>
    <row r="208" spans="1:12" x14ac:dyDescent="0.3">
      <c r="A208" s="15" t="str">
        <f>Raw_Data!A208</f>
        <v>P0204</v>
      </c>
      <c r="B208" s="15" t="str">
        <f>Raw_Data!C208</f>
        <v>Singapore FX</v>
      </c>
      <c r="C208" s="11" t="str">
        <f>IFERROR(INDEX(Thresholds!$A$2:$A$5,MATCH(TRIM(Raw_Data!D208),Thresholds!$A$2:$A$5,0)),"UNMAPPED")</f>
        <v>FX Forward</v>
      </c>
      <c r="D208" s="16">
        <f>Raw_Data!G208</f>
        <v>4193200</v>
      </c>
      <c r="E208" s="17">
        <f>Raw_Data!H208</f>
        <v>1.2267999999999999</v>
      </c>
      <c r="F208" s="14">
        <f>IF(Raw_Data!I208="","",Raw_Data!I208)</f>
        <v>1.2297199999999999</v>
      </c>
      <c r="G208" s="18">
        <f t="shared" si="9"/>
        <v>-2.3745242819503904E-3</v>
      </c>
      <c r="H208" s="19">
        <f>IFERROR(INDEX(Thresholds!$B$2:$B$5,MATCH(C208,Thresholds!$A$2:$A$5,0)),"")</f>
        <v>3.0000000000000001E-3</v>
      </c>
      <c r="I208" s="20">
        <f t="shared" si="10"/>
        <v>-12244.144000000142</v>
      </c>
      <c r="J208" s="11" t="str">
        <f t="shared" si="11"/>
        <v>OK</v>
      </c>
      <c r="K208" s="11" t="str">
        <f>IF(COUNTIF(Raw_Data!$A$2:A208,Raw_Data!A208)&gt;1,"DUP","UNIQUE")</f>
        <v>UNIQUE</v>
      </c>
      <c r="L208" s="11" t="str">
        <f>IF(Raw_Data!B208&lt;&gt;Thresholds!$E$1,"STALE","CURRENT")</f>
        <v>CURRENT</v>
      </c>
    </row>
    <row r="209" spans="1:12" x14ac:dyDescent="0.3">
      <c r="A209" s="15" t="str">
        <f>Raw_Data!A209</f>
        <v>P0205</v>
      </c>
      <c r="B209" s="15" t="str">
        <f>Raw_Data!C209</f>
        <v>London Credit</v>
      </c>
      <c r="C209" s="11" t="str">
        <f>IFERROR(INDEX(Thresholds!$A$2:$A$5,MATCH(TRIM(Raw_Data!D209),Thresholds!$A$2:$A$5,0)),"UNMAPPED")</f>
        <v>Corporate Bond</v>
      </c>
      <c r="D209" s="16">
        <f>Raw_Data!G209</f>
        <v>2319</v>
      </c>
      <c r="E209" s="17">
        <f>Raw_Data!H209</f>
        <v>107.999</v>
      </c>
      <c r="F209" s="14">
        <f>IF(Raw_Data!I209="","",Raw_Data!I209)</f>
        <v>108.229</v>
      </c>
      <c r="G209" s="18">
        <f t="shared" si="9"/>
        <v>-2.1251235805560798E-3</v>
      </c>
      <c r="H209" s="19">
        <f>IFERROR(INDEX(Thresholds!$B$2:$B$5,MATCH(C209,Thresholds!$A$2:$A$5,0)),"")</f>
        <v>5.0000000000000001E-3</v>
      </c>
      <c r="I209" s="20">
        <f t="shared" si="10"/>
        <v>-533.37000000000921</v>
      </c>
      <c r="J209" s="11" t="str">
        <f t="shared" si="11"/>
        <v>OK</v>
      </c>
      <c r="K209" s="11" t="str">
        <f>IF(COUNTIF(Raw_Data!$A$2:A209,Raw_Data!A209)&gt;1,"DUP","UNIQUE")</f>
        <v>UNIQUE</v>
      </c>
      <c r="L209" s="11" t="str">
        <f>IF(Raw_Data!B209&lt;&gt;Thresholds!$E$1,"STALE","CURRENT")</f>
        <v>CURRENT</v>
      </c>
    </row>
    <row r="210" spans="1:12" x14ac:dyDescent="0.3">
      <c r="A210" s="15" t="str">
        <f>Raw_Data!A210</f>
        <v>P0206</v>
      </c>
      <c r="B210" s="15" t="str">
        <f>Raw_Data!C210</f>
        <v>Singapore FX</v>
      </c>
      <c r="C210" s="11" t="str">
        <f>IFERROR(INDEX(Thresholds!$A$2:$A$5,MATCH(TRIM(Raw_Data!D210),Thresholds!$A$2:$A$5,0)),"UNMAPPED")</f>
        <v>FX Forward</v>
      </c>
      <c r="D210" s="16">
        <f>Raw_Data!G210</f>
        <v>121518</v>
      </c>
      <c r="E210" s="17">
        <f>Raw_Data!H210</f>
        <v>0.93988000000000005</v>
      </c>
      <c r="F210" s="14">
        <f>IF(Raw_Data!I210="","",Raw_Data!I210)</f>
        <v>0.93962000000000001</v>
      </c>
      <c r="G210" s="18">
        <f t="shared" si="9"/>
        <v>2.767076052021434E-4</v>
      </c>
      <c r="H210" s="19">
        <f>IFERROR(INDEX(Thresholds!$B$2:$B$5,MATCH(C210,Thresholds!$A$2:$A$5,0)),"")</f>
        <v>3.0000000000000001E-3</v>
      </c>
      <c r="I210" s="20">
        <f t="shared" si="10"/>
        <v>31.594680000004615</v>
      </c>
      <c r="J210" s="11" t="str">
        <f t="shared" si="11"/>
        <v>OK</v>
      </c>
      <c r="K210" s="11" t="str">
        <f>IF(COUNTIF(Raw_Data!$A$2:A210,Raw_Data!A210)&gt;1,"DUP","UNIQUE")</f>
        <v>UNIQUE</v>
      </c>
      <c r="L210" s="11" t="str">
        <f>IF(Raw_Data!B210&lt;&gt;Thresholds!$E$1,"STALE","CURRENT")</f>
        <v>CURRENT</v>
      </c>
    </row>
    <row r="211" spans="1:12" x14ac:dyDescent="0.3">
      <c r="A211" s="15" t="str">
        <f>Raw_Data!A211</f>
        <v>P0207</v>
      </c>
      <c r="B211" s="15" t="str">
        <f>Raw_Data!C211</f>
        <v>London Credit</v>
      </c>
      <c r="C211" s="11" t="str">
        <f>IFERROR(INDEX(Thresholds!$A$2:$A$5,MATCH(TRIM(Raw_Data!D211),Thresholds!$A$2:$A$5,0)),"UNMAPPED")</f>
        <v>Corporate Bond</v>
      </c>
      <c r="D211" s="16">
        <f>Raw_Data!G211</f>
        <v>15288</v>
      </c>
      <c r="E211" s="17">
        <f>Raw_Data!H211</f>
        <v>96.075999999999993</v>
      </c>
      <c r="F211" s="14">
        <f>IF(Raw_Data!I211="","",Raw_Data!I211)</f>
        <v>96.093000000000004</v>
      </c>
      <c r="G211" s="18">
        <f t="shared" si="9"/>
        <v>-1.7691194988199056E-4</v>
      </c>
      <c r="H211" s="19">
        <f>IFERROR(INDEX(Thresholds!$B$2:$B$5,MATCH(C211,Thresholds!$A$2:$A$5,0)),"")</f>
        <v>5.0000000000000001E-3</v>
      </c>
      <c r="I211" s="20">
        <f t="shared" si="10"/>
        <v>-259.89600000015469</v>
      </c>
      <c r="J211" s="11" t="str">
        <f t="shared" si="11"/>
        <v>OK</v>
      </c>
      <c r="K211" s="11" t="str">
        <f>IF(COUNTIF(Raw_Data!$A$2:A211,Raw_Data!A211)&gt;1,"DUP","UNIQUE")</f>
        <v>UNIQUE</v>
      </c>
      <c r="L211" s="11" t="str">
        <f>IF(Raw_Data!B211&lt;&gt;Thresholds!$E$1,"STALE","CURRENT")</f>
        <v>CURRENT</v>
      </c>
    </row>
    <row r="212" spans="1:12" x14ac:dyDescent="0.3">
      <c r="A212" s="15" t="str">
        <f>Raw_Data!A212</f>
        <v>P0208</v>
      </c>
      <c r="B212" s="15" t="str">
        <f>Raw_Data!C212</f>
        <v>London Rates</v>
      </c>
      <c r="C212" s="11" t="str">
        <f>IFERROR(INDEX(Thresholds!$A$2:$A$5,MATCH(TRIM(Raw_Data!D212),Thresholds!$A$2:$A$5,0)),"UNMAPPED")</f>
        <v>Government Bond</v>
      </c>
      <c r="D212" s="16">
        <f>Raw_Data!G212</f>
        <v>18191</v>
      </c>
      <c r="E212" s="17">
        <f>Raw_Data!H212</f>
        <v>97.730999999999995</v>
      </c>
      <c r="F212" s="14">
        <f>IF(Raw_Data!I212="","",Raw_Data!I212)</f>
        <v>97.887</v>
      </c>
      <c r="G212" s="18">
        <f t="shared" si="9"/>
        <v>-1.5936743387784478E-3</v>
      </c>
      <c r="H212" s="19">
        <f>IFERROR(INDEX(Thresholds!$B$2:$B$5,MATCH(C212,Thresholds!$A$2:$A$5,0)),"")</f>
        <v>2.5000000000000001E-3</v>
      </c>
      <c r="I212" s="20">
        <f t="shared" si="10"/>
        <v>-2837.7960000001076</v>
      </c>
      <c r="J212" s="11" t="str">
        <f t="shared" si="11"/>
        <v>OK</v>
      </c>
      <c r="K212" s="11" t="str">
        <f>IF(COUNTIF(Raw_Data!$A$2:A212,Raw_Data!A212)&gt;1,"DUP","UNIQUE")</f>
        <v>UNIQUE</v>
      </c>
      <c r="L212" s="11" t="str">
        <f>IF(Raw_Data!B212&lt;&gt;Thresholds!$E$1,"STALE","CURRENT")</f>
        <v>CURRENT</v>
      </c>
    </row>
    <row r="213" spans="1:12" x14ac:dyDescent="0.3">
      <c r="A213" s="15" t="str">
        <f>Raw_Data!A213</f>
        <v>P0209</v>
      </c>
      <c r="B213" s="15" t="str">
        <f>Raw_Data!C213</f>
        <v>New York Rates</v>
      </c>
      <c r="C213" s="11" t="str">
        <f>IFERROR(INDEX(Thresholds!$A$2:$A$5,MATCH(TRIM(Raw_Data!D213),Thresholds!$A$2:$A$5,0)),"UNMAPPED")</f>
        <v>Government Bond</v>
      </c>
      <c r="D213" s="16">
        <f>Raw_Data!G213</f>
        <v>2973</v>
      </c>
      <c r="E213" s="17">
        <f>Raw_Data!H213</f>
        <v>100.54900000000001</v>
      </c>
      <c r="F213" s="14">
        <f>IF(Raw_Data!I213="","",Raw_Data!I213)</f>
        <v>100.42100000000001</v>
      </c>
      <c r="G213" s="18">
        <f t="shared" si="9"/>
        <v>1.2746337917367893E-3</v>
      </c>
      <c r="H213" s="19">
        <f>IFERROR(INDEX(Thresholds!$B$2:$B$5,MATCH(C213,Thresholds!$A$2:$A$5,0)),"")</f>
        <v>2.5000000000000001E-3</v>
      </c>
      <c r="I213" s="20">
        <f t="shared" si="10"/>
        <v>380.54400000000032</v>
      </c>
      <c r="J213" s="11" t="str">
        <f t="shared" si="11"/>
        <v>OK</v>
      </c>
      <c r="K213" s="11" t="str">
        <f>IF(COUNTIF(Raw_Data!$A$2:A213,Raw_Data!A213)&gt;1,"DUP","UNIQUE")</f>
        <v>UNIQUE</v>
      </c>
      <c r="L213" s="11" t="str">
        <f>IF(Raw_Data!B213&lt;&gt;Thresholds!$E$1,"STALE","CURRENT")</f>
        <v>CURRENT</v>
      </c>
    </row>
    <row r="214" spans="1:12" x14ac:dyDescent="0.3">
      <c r="A214" s="15" t="str">
        <f>Raw_Data!A214</f>
        <v>P0210</v>
      </c>
      <c r="B214" s="15" t="str">
        <f>Raw_Data!C214</f>
        <v>New York Rates</v>
      </c>
      <c r="C214" s="11" t="str">
        <f>IFERROR(INDEX(Thresholds!$A$2:$A$5,MATCH(TRIM(Raw_Data!D214),Thresholds!$A$2:$A$5,0)),"UNMAPPED")</f>
        <v>Government Bond</v>
      </c>
      <c r="D214" s="16">
        <f>Raw_Data!G214</f>
        <v>7360</v>
      </c>
      <c r="E214" s="17">
        <f>Raw_Data!H214</f>
        <v>103.84399999999999</v>
      </c>
      <c r="F214" s="14">
        <f>IF(Raw_Data!I214="","",Raw_Data!I214)</f>
        <v>103.827</v>
      </c>
      <c r="G214" s="18">
        <f t="shared" si="9"/>
        <v>1.6373390351253437E-4</v>
      </c>
      <c r="H214" s="19">
        <f>IFERROR(INDEX(Thresholds!$B$2:$B$5,MATCH(C214,Thresholds!$A$2:$A$5,0)),"")</f>
        <v>2.5000000000000001E-3</v>
      </c>
      <c r="I214" s="20">
        <f t="shared" si="10"/>
        <v>125.11999999996988</v>
      </c>
      <c r="J214" s="11" t="str">
        <f t="shared" si="11"/>
        <v>OK</v>
      </c>
      <c r="K214" s="11" t="str">
        <f>IF(COUNTIF(Raw_Data!$A$2:A214,Raw_Data!A214)&gt;1,"DUP","UNIQUE")</f>
        <v>UNIQUE</v>
      </c>
      <c r="L214" s="11" t="str">
        <f>IF(Raw_Data!B214&lt;&gt;Thresholds!$E$1,"STALE","CURRENT")</f>
        <v>CURRENT</v>
      </c>
    </row>
    <row r="215" spans="1:12" x14ac:dyDescent="0.3">
      <c r="A215" s="15" t="str">
        <f>Raw_Data!A215</f>
        <v>P0211</v>
      </c>
      <c r="B215" s="15" t="str">
        <f>Raw_Data!C215</f>
        <v>Singapore Equities</v>
      </c>
      <c r="C215" s="11" t="str">
        <f>IFERROR(INDEX(Thresholds!$A$2:$A$5,MATCH(TRIM(Raw_Data!D215),Thresholds!$A$2:$A$5,0)),"UNMAPPED")</f>
        <v>Equity</v>
      </c>
      <c r="D215" s="16">
        <f>Raw_Data!G215</f>
        <v>29919</v>
      </c>
      <c r="E215" s="17">
        <f>Raw_Data!H215</f>
        <v>279.43</v>
      </c>
      <c r="F215" s="14">
        <f>IF(Raw_Data!I215="","",Raw_Data!I215)</f>
        <v>279.35000000000002</v>
      </c>
      <c r="G215" s="18">
        <f t="shared" si="9"/>
        <v>2.8637909432605718E-4</v>
      </c>
      <c r="H215" s="19">
        <f>IFERROR(INDEX(Thresholds!$B$2:$B$5,MATCH(C215,Thresholds!$A$2:$A$5,0)),"")</f>
        <v>0.01</v>
      </c>
      <c r="I215" s="20">
        <f t="shared" si="10"/>
        <v>2393.5199999995239</v>
      </c>
      <c r="J215" s="11" t="str">
        <f t="shared" si="11"/>
        <v>OK</v>
      </c>
      <c r="K215" s="11" t="str">
        <f>IF(COUNTIF(Raw_Data!$A$2:A215,Raw_Data!A215)&gt;1,"DUP","UNIQUE")</f>
        <v>UNIQUE</v>
      </c>
      <c r="L215" s="11" t="str">
        <f>IF(Raw_Data!B215&lt;&gt;Thresholds!$E$1,"STALE","CURRENT")</f>
        <v>CURRENT</v>
      </c>
    </row>
    <row r="216" spans="1:12" x14ac:dyDescent="0.3">
      <c r="A216" s="15" t="str">
        <f>Raw_Data!A216</f>
        <v>P0212</v>
      </c>
      <c r="B216" s="15" t="str">
        <f>Raw_Data!C216</f>
        <v>London Rates</v>
      </c>
      <c r="C216" s="11" t="str">
        <f>IFERROR(INDEX(Thresholds!$A$2:$A$5,MATCH(TRIM(Raw_Data!D216),Thresholds!$A$2:$A$5,0)),"UNMAPPED")</f>
        <v>Government Bond</v>
      </c>
      <c r="D216" s="16">
        <f>Raw_Data!G216</f>
        <v>11079</v>
      </c>
      <c r="E216" s="17">
        <f>Raw_Data!H216</f>
        <v>97.326999999999998</v>
      </c>
      <c r="F216" s="14">
        <f>IF(Raw_Data!I216="","",Raw_Data!I216)</f>
        <v>97.426000000000002</v>
      </c>
      <c r="G216" s="18">
        <f t="shared" si="9"/>
        <v>-1.0161558516207558E-3</v>
      </c>
      <c r="H216" s="19">
        <f>IFERROR(INDEX(Thresholds!$B$2:$B$5,MATCH(C216,Thresholds!$A$2:$A$5,0)),"")</f>
        <v>2.5000000000000001E-3</v>
      </c>
      <c r="I216" s="20">
        <f t="shared" si="10"/>
        <v>-1096.8210000000415</v>
      </c>
      <c r="J216" s="11" t="str">
        <f t="shared" si="11"/>
        <v>OK</v>
      </c>
      <c r="K216" s="11" t="str">
        <f>IF(COUNTIF(Raw_Data!$A$2:A216,Raw_Data!A216)&gt;1,"DUP","UNIQUE")</f>
        <v>UNIQUE</v>
      </c>
      <c r="L216" s="11" t="str">
        <f>IF(Raw_Data!B216&lt;&gt;Thresholds!$E$1,"STALE","CURRENT")</f>
        <v>CURRENT</v>
      </c>
    </row>
    <row r="217" spans="1:12" x14ac:dyDescent="0.3">
      <c r="A217" s="15" t="str">
        <f>Raw_Data!A217</f>
        <v>P0213</v>
      </c>
      <c r="B217" s="15" t="str">
        <f>Raw_Data!C217</f>
        <v>Zurich Equities</v>
      </c>
      <c r="C217" s="11" t="str">
        <f>IFERROR(INDEX(Thresholds!$A$2:$A$5,MATCH(TRIM(Raw_Data!D217),Thresholds!$A$2:$A$5,0)),"UNMAPPED")</f>
        <v>Equity</v>
      </c>
      <c r="D217" s="16">
        <f>Raw_Data!G217</f>
        <v>49946</v>
      </c>
      <c r="E217" s="17">
        <f>Raw_Data!H217</f>
        <v>43.98</v>
      </c>
      <c r="F217" s="14">
        <f>IF(Raw_Data!I217="","",Raw_Data!I217)</f>
        <v>44.06</v>
      </c>
      <c r="G217" s="18">
        <f t="shared" si="9"/>
        <v>-1.815705855651507E-3</v>
      </c>
      <c r="H217" s="19">
        <f>IFERROR(INDEX(Thresholds!$B$2:$B$5,MATCH(C217,Thresholds!$A$2:$A$5,0)),"")</f>
        <v>0.01</v>
      </c>
      <c r="I217" s="20">
        <f t="shared" si="10"/>
        <v>-3995.6800000002695</v>
      </c>
      <c r="J217" s="11" t="str">
        <f t="shared" si="11"/>
        <v>OK</v>
      </c>
      <c r="K217" s="11" t="str">
        <f>IF(COUNTIF(Raw_Data!$A$2:A217,Raw_Data!A217)&gt;1,"DUP","UNIQUE")</f>
        <v>UNIQUE</v>
      </c>
      <c r="L217" s="11" t="str">
        <f>IF(Raw_Data!B217&lt;&gt;Thresholds!$E$1,"STALE","CURRENT")</f>
        <v>CURRENT</v>
      </c>
    </row>
    <row r="218" spans="1:12" x14ac:dyDescent="0.3">
      <c r="A218" s="15" t="str">
        <f>Raw_Data!A218</f>
        <v>P0214</v>
      </c>
      <c r="B218" s="15" t="str">
        <f>Raw_Data!C218</f>
        <v>Zurich Equities</v>
      </c>
      <c r="C218" s="11" t="str">
        <f>IFERROR(INDEX(Thresholds!$A$2:$A$5,MATCH(TRIM(Raw_Data!D218),Thresholds!$A$2:$A$5,0)),"UNMAPPED")</f>
        <v>Equity</v>
      </c>
      <c r="D218" s="16">
        <f>Raw_Data!G218</f>
        <v>37270</v>
      </c>
      <c r="E218" s="17">
        <f>Raw_Data!H218</f>
        <v>275.68</v>
      </c>
      <c r="F218" s="14">
        <f>IF(Raw_Data!I218="","",Raw_Data!I218)</f>
        <v>277</v>
      </c>
      <c r="G218" s="18">
        <f t="shared" si="9"/>
        <v>-4.7653429602887839E-3</v>
      </c>
      <c r="H218" s="19">
        <f>IFERROR(INDEX(Thresholds!$B$2:$B$5,MATCH(C218,Thresholds!$A$2:$A$5,0)),"")</f>
        <v>0.01</v>
      </c>
      <c r="I218" s="20">
        <f t="shared" si="10"/>
        <v>-49196.399999999747</v>
      </c>
      <c r="J218" s="11" t="str">
        <f t="shared" si="11"/>
        <v>OK</v>
      </c>
      <c r="K218" s="11" t="str">
        <f>IF(COUNTIF(Raw_Data!$A$2:A218,Raw_Data!A218)&gt;1,"DUP","UNIQUE")</f>
        <v>UNIQUE</v>
      </c>
      <c r="L218" s="11" t="str">
        <f>IF(Raw_Data!B218&lt;&gt;Thresholds!$E$1,"STALE","CURRENT")</f>
        <v>CURRENT</v>
      </c>
    </row>
    <row r="219" spans="1:12" x14ac:dyDescent="0.3">
      <c r="A219" s="15" t="str">
        <f>Raw_Data!A219</f>
        <v>P0215</v>
      </c>
      <c r="B219" s="15" t="str">
        <f>Raw_Data!C219</f>
        <v>London Credit</v>
      </c>
      <c r="C219" s="11" t="str">
        <f>IFERROR(INDEX(Thresholds!$A$2:$A$5,MATCH(TRIM(Raw_Data!D219),Thresholds!$A$2:$A$5,0)),"UNMAPPED")</f>
        <v>Corporate Bond</v>
      </c>
      <c r="D219" s="16">
        <f>Raw_Data!G219</f>
        <v>4976</v>
      </c>
      <c r="E219" s="17">
        <f>Raw_Data!H219</f>
        <v>100.91800000000001</v>
      </c>
      <c r="F219" s="14">
        <f>IF(Raw_Data!I219="","",Raw_Data!I219)</f>
        <v>101.286</v>
      </c>
      <c r="G219" s="18">
        <f t="shared" si="9"/>
        <v>-3.6332760697430542E-3</v>
      </c>
      <c r="H219" s="19">
        <f>IFERROR(INDEX(Thresholds!$B$2:$B$5,MATCH(C219,Thresholds!$A$2:$A$5,0)),"")</f>
        <v>5.0000000000000001E-3</v>
      </c>
      <c r="I219" s="20">
        <f t="shared" si="10"/>
        <v>-1831.1679999999751</v>
      </c>
      <c r="J219" s="11" t="str">
        <f t="shared" si="11"/>
        <v>OK</v>
      </c>
      <c r="K219" s="11" t="str">
        <f>IF(COUNTIF(Raw_Data!$A$2:A219,Raw_Data!A219)&gt;1,"DUP","UNIQUE")</f>
        <v>UNIQUE</v>
      </c>
      <c r="L219" s="11" t="str">
        <f>IF(Raw_Data!B219&lt;&gt;Thresholds!$E$1,"STALE","CURRENT")</f>
        <v>CURRENT</v>
      </c>
    </row>
    <row r="220" spans="1:12" x14ac:dyDescent="0.3">
      <c r="A220" s="15" t="str">
        <f>Raw_Data!A220</f>
        <v>P0216</v>
      </c>
      <c r="B220" s="15" t="str">
        <f>Raw_Data!C220</f>
        <v>Singapore Equities</v>
      </c>
      <c r="C220" s="11" t="str">
        <f>IFERROR(INDEX(Thresholds!$A$2:$A$5,MATCH(TRIM(Raw_Data!D220),Thresholds!$A$2:$A$5,0)),"UNMAPPED")</f>
        <v>Equity</v>
      </c>
      <c r="D220" s="16">
        <f>Raw_Data!G220</f>
        <v>47423</v>
      </c>
      <c r="E220" s="17">
        <f>Raw_Data!H220</f>
        <v>20.91</v>
      </c>
      <c r="F220" s="14">
        <f>IF(Raw_Data!I220="","",Raw_Data!I220)</f>
        <v>20.84</v>
      </c>
      <c r="G220" s="18">
        <f t="shared" si="9"/>
        <v>3.3589251439539486E-3</v>
      </c>
      <c r="H220" s="19">
        <f>IFERROR(INDEX(Thresholds!$B$2:$B$5,MATCH(C220,Thresholds!$A$2:$A$5,0)),"")</f>
        <v>0.01</v>
      </c>
      <c r="I220" s="20">
        <f t="shared" si="10"/>
        <v>3319.6100000000133</v>
      </c>
      <c r="J220" s="11" t="str">
        <f t="shared" si="11"/>
        <v>OK</v>
      </c>
      <c r="K220" s="11" t="str">
        <f>IF(COUNTIF(Raw_Data!$A$2:A220,Raw_Data!A220)&gt;1,"DUP","UNIQUE")</f>
        <v>UNIQUE</v>
      </c>
      <c r="L220" s="11" t="str">
        <f>IF(Raw_Data!B220&lt;&gt;Thresholds!$E$1,"STALE","CURRENT")</f>
        <v>CURRENT</v>
      </c>
    </row>
    <row r="221" spans="1:12" x14ac:dyDescent="0.3">
      <c r="A221" s="15" t="str">
        <f>Raw_Data!A221</f>
        <v>P0217</v>
      </c>
      <c r="B221" s="15" t="str">
        <f>Raw_Data!C221</f>
        <v>London Rates</v>
      </c>
      <c r="C221" s="11" t="str">
        <f>IFERROR(INDEX(Thresholds!$A$2:$A$5,MATCH(TRIM(Raw_Data!D221),Thresholds!$A$2:$A$5,0)),"UNMAPPED")</f>
        <v>UNMAPPED</v>
      </c>
      <c r="D221" s="16">
        <f>Raw_Data!G221</f>
        <v>18779</v>
      </c>
      <c r="E221" s="17">
        <f>Raw_Data!H221</f>
        <v>101.261</v>
      </c>
      <c r="F221" s="14">
        <f>IF(Raw_Data!I221="","",Raw_Data!I221)</f>
        <v>101.179</v>
      </c>
      <c r="G221" s="18">
        <f t="shared" si="9"/>
        <v>8.1044485515762788E-4</v>
      </c>
      <c r="H221" s="19" t="str">
        <f>IFERROR(INDEX(Thresholds!$B$2:$B$5,MATCH(C221,Thresholds!$A$2:$A$5,0)),"")</f>
        <v/>
      </c>
      <c r="I221" s="20">
        <f t="shared" si="10"/>
        <v>1539.8779999998806</v>
      </c>
      <c r="J221" s="11" t="str">
        <f t="shared" si="11"/>
        <v>UNMAPPED ASSET CLASS</v>
      </c>
      <c r="K221" s="11" t="str">
        <f>IF(COUNTIF(Raw_Data!$A$2:A221,Raw_Data!A221)&gt;1,"DUP","UNIQUE")</f>
        <v>UNIQUE</v>
      </c>
      <c r="L221" s="11" t="str">
        <f>IF(Raw_Data!B221&lt;&gt;Thresholds!$E$1,"STALE","CURRENT")</f>
        <v>CURRENT</v>
      </c>
    </row>
    <row r="222" spans="1:12" x14ac:dyDescent="0.3">
      <c r="A222" s="15" t="str">
        <f>Raw_Data!A222</f>
        <v>P0218</v>
      </c>
      <c r="B222" s="15" t="str">
        <f>Raw_Data!C222</f>
        <v>New York Credit</v>
      </c>
      <c r="C222" s="11" t="str">
        <f>IFERROR(INDEX(Thresholds!$A$2:$A$5,MATCH(TRIM(Raw_Data!D222),Thresholds!$A$2:$A$5,0)),"UNMAPPED")</f>
        <v>Corporate Bond</v>
      </c>
      <c r="D222" s="16">
        <f>Raw_Data!G222</f>
        <v>19346</v>
      </c>
      <c r="E222" s="17">
        <f>Raw_Data!H222</f>
        <v>95.361000000000004</v>
      </c>
      <c r="F222" s="14">
        <f>IF(Raw_Data!I222="","",Raw_Data!I222)</f>
        <v>95.361000000000004</v>
      </c>
      <c r="G222" s="18">
        <f t="shared" si="9"/>
        <v>0</v>
      </c>
      <c r="H222" s="19">
        <f>IFERROR(INDEX(Thresholds!$B$2:$B$5,MATCH(C222,Thresholds!$A$2:$A$5,0)),"")</f>
        <v>5.0000000000000001E-3</v>
      </c>
      <c r="I222" s="20">
        <f t="shared" si="10"/>
        <v>0</v>
      </c>
      <c r="J222" s="11" t="str">
        <f t="shared" si="11"/>
        <v>OK</v>
      </c>
      <c r="K222" s="11" t="str">
        <f>IF(COUNTIF(Raw_Data!$A$2:A222,Raw_Data!A222)&gt;1,"DUP","UNIQUE")</f>
        <v>UNIQUE</v>
      </c>
      <c r="L222" s="11" t="str">
        <f>IF(Raw_Data!B222&lt;&gt;Thresholds!$E$1,"STALE","CURRENT")</f>
        <v>CURRENT</v>
      </c>
    </row>
    <row r="223" spans="1:12" x14ac:dyDescent="0.3">
      <c r="A223" s="15" t="str">
        <f>Raw_Data!A223</f>
        <v>P0219</v>
      </c>
      <c r="B223" s="15" t="str">
        <f>Raw_Data!C223</f>
        <v>Singapore FX</v>
      </c>
      <c r="C223" s="11" t="str">
        <f>IFERROR(INDEX(Thresholds!$A$2:$A$5,MATCH(TRIM(Raw_Data!D223),Thresholds!$A$2:$A$5,0)),"UNMAPPED")</f>
        <v>FX Forward</v>
      </c>
      <c r="D223" s="16">
        <f>Raw_Data!G223</f>
        <v>1300558</v>
      </c>
      <c r="E223" s="17">
        <f>Raw_Data!H223</f>
        <v>1.5128299999999999</v>
      </c>
      <c r="F223" s="14">
        <f>IF(Raw_Data!I223="","",Raw_Data!I223)</f>
        <v>1.51065</v>
      </c>
      <c r="G223" s="18">
        <f t="shared" si="9"/>
        <v>1.4430874127030408E-3</v>
      </c>
      <c r="H223" s="19">
        <f>IFERROR(INDEX(Thresholds!$B$2:$B$5,MATCH(C223,Thresholds!$A$2:$A$5,0)),"")</f>
        <v>3.0000000000000001E-3</v>
      </c>
      <c r="I223" s="20">
        <f t="shared" si="10"/>
        <v>2835.2164399998032</v>
      </c>
      <c r="J223" s="11" t="str">
        <f t="shared" si="11"/>
        <v>OK</v>
      </c>
      <c r="K223" s="11" t="str">
        <f>IF(COUNTIF(Raw_Data!$A$2:A223,Raw_Data!A223)&gt;1,"DUP","UNIQUE")</f>
        <v>UNIQUE</v>
      </c>
      <c r="L223" s="11" t="str">
        <f>IF(Raw_Data!B223&lt;&gt;Thresholds!$E$1,"STALE","CURRENT")</f>
        <v>CURRENT</v>
      </c>
    </row>
    <row r="224" spans="1:12" x14ac:dyDescent="0.3">
      <c r="A224" s="15" t="str">
        <f>Raw_Data!A224</f>
        <v>P0220</v>
      </c>
      <c r="B224" s="15" t="str">
        <f>Raw_Data!C224</f>
        <v>Singapore FX</v>
      </c>
      <c r="C224" s="11" t="str">
        <f>IFERROR(INDEX(Thresholds!$A$2:$A$5,MATCH(TRIM(Raw_Data!D224),Thresholds!$A$2:$A$5,0)),"UNMAPPED")</f>
        <v>FX Forward</v>
      </c>
      <c r="D224" s="16">
        <f>Raw_Data!G224</f>
        <v>4685197</v>
      </c>
      <c r="E224" s="17">
        <f>Raw_Data!H224</f>
        <v>1.5012099999999999</v>
      </c>
      <c r="F224" s="14">
        <f>IF(Raw_Data!I224="","",Raw_Data!I224)</f>
        <v>1.4994799999999999</v>
      </c>
      <c r="G224" s="18">
        <f t="shared" si="9"/>
        <v>1.1537332942086653E-3</v>
      </c>
      <c r="H224" s="19">
        <f>IFERROR(INDEX(Thresholds!$B$2:$B$5,MATCH(C224,Thresholds!$A$2:$A$5,0)),"")</f>
        <v>3.0000000000000001E-3</v>
      </c>
      <c r="I224" s="20">
        <f t="shared" si="10"/>
        <v>8105.3908100000435</v>
      </c>
      <c r="J224" s="11" t="str">
        <f t="shared" si="11"/>
        <v>OK</v>
      </c>
      <c r="K224" s="11" t="str">
        <f>IF(COUNTIF(Raw_Data!$A$2:A224,Raw_Data!A224)&gt;1,"DUP","UNIQUE")</f>
        <v>UNIQUE</v>
      </c>
      <c r="L224" s="11" t="str">
        <f>IF(Raw_Data!B224&lt;&gt;Thresholds!$E$1,"STALE","CURRENT")</f>
        <v>CURRENT</v>
      </c>
    </row>
    <row r="225" spans="1:12" x14ac:dyDescent="0.3">
      <c r="A225" s="15" t="str">
        <f>Raw_Data!A225</f>
        <v>P0221</v>
      </c>
      <c r="B225" s="15" t="str">
        <f>Raw_Data!C225</f>
        <v>New York Rates</v>
      </c>
      <c r="C225" s="11" t="str">
        <f>IFERROR(INDEX(Thresholds!$A$2:$A$5,MATCH(TRIM(Raw_Data!D225),Thresholds!$A$2:$A$5,0)),"UNMAPPED")</f>
        <v>Government Bond</v>
      </c>
      <c r="D225" s="16">
        <f>Raw_Data!G225</f>
        <v>17334</v>
      </c>
      <c r="E225" s="17">
        <f>Raw_Data!H225</f>
        <v>99.305999999999997</v>
      </c>
      <c r="F225" s="14">
        <f>IF(Raw_Data!I225="","",Raw_Data!I225)</f>
        <v>99.27</v>
      </c>
      <c r="G225" s="18">
        <f t="shared" si="9"/>
        <v>3.6264732547598835E-4</v>
      </c>
      <c r="H225" s="19">
        <f>IFERROR(INDEX(Thresholds!$B$2:$B$5,MATCH(C225,Thresholds!$A$2:$A$5,0)),"")</f>
        <v>2.5000000000000001E-3</v>
      </c>
      <c r="I225" s="20">
        <f t="shared" si="10"/>
        <v>624.02400000002365</v>
      </c>
      <c r="J225" s="11" t="str">
        <f t="shared" si="11"/>
        <v>OK</v>
      </c>
      <c r="K225" s="11" t="str">
        <f>IF(COUNTIF(Raw_Data!$A$2:A225,Raw_Data!A225)&gt;1,"DUP","UNIQUE")</f>
        <v>UNIQUE</v>
      </c>
      <c r="L225" s="11" t="str">
        <f>IF(Raw_Data!B225&lt;&gt;Thresholds!$E$1,"STALE","CURRENT")</f>
        <v>CURRENT</v>
      </c>
    </row>
    <row r="226" spans="1:12" x14ac:dyDescent="0.3">
      <c r="A226" s="15" t="str">
        <f>Raw_Data!A226</f>
        <v>P0222</v>
      </c>
      <c r="B226" s="15" t="str">
        <f>Raw_Data!C226</f>
        <v>New York Credit</v>
      </c>
      <c r="C226" s="11" t="str">
        <f>IFERROR(INDEX(Thresholds!$A$2:$A$5,MATCH(TRIM(Raw_Data!D226),Thresholds!$A$2:$A$5,0)),"UNMAPPED")</f>
        <v>Corporate Bond</v>
      </c>
      <c r="D226" s="16">
        <f>Raw_Data!G226</f>
        <v>9101</v>
      </c>
      <c r="E226" s="17">
        <f>Raw_Data!H226</f>
        <v>96.147000000000006</v>
      </c>
      <c r="F226" s="14">
        <f>IF(Raw_Data!I226="","",Raw_Data!I226)</f>
        <v>96.299000000000007</v>
      </c>
      <c r="G226" s="18">
        <f t="shared" si="9"/>
        <v>-1.5784172213626415E-3</v>
      </c>
      <c r="H226" s="19">
        <f>IFERROR(INDEX(Thresholds!$B$2:$B$5,MATCH(C226,Thresholds!$A$2:$A$5,0)),"")</f>
        <v>5.0000000000000001E-3</v>
      </c>
      <c r="I226" s="20">
        <f t="shared" si="10"/>
        <v>-1383.3520000000094</v>
      </c>
      <c r="J226" s="11" t="str">
        <f t="shared" si="11"/>
        <v>OK</v>
      </c>
      <c r="K226" s="11" t="str">
        <f>IF(COUNTIF(Raw_Data!$A$2:A226,Raw_Data!A226)&gt;1,"DUP","UNIQUE")</f>
        <v>UNIQUE</v>
      </c>
      <c r="L226" s="11" t="str">
        <f>IF(Raw_Data!B226&lt;&gt;Thresholds!$E$1,"STALE","CURRENT")</f>
        <v>CURRENT</v>
      </c>
    </row>
    <row r="227" spans="1:12" x14ac:dyDescent="0.3">
      <c r="A227" s="15" t="str">
        <f>Raw_Data!A227</f>
        <v>P0223</v>
      </c>
      <c r="B227" s="15" t="str">
        <f>Raw_Data!C227</f>
        <v>Zurich FX</v>
      </c>
      <c r="C227" s="11" t="str">
        <f>IFERROR(INDEX(Thresholds!$A$2:$A$5,MATCH(TRIM(Raw_Data!D227),Thresholds!$A$2:$A$5,0)),"UNMAPPED")</f>
        <v>FX Forward</v>
      </c>
      <c r="D227" s="16">
        <f>Raw_Data!G227</f>
        <v>1085377</v>
      </c>
      <c r="E227" s="17">
        <f>Raw_Data!H227</f>
        <v>1.06145</v>
      </c>
      <c r="F227" s="14">
        <f>IF(Raw_Data!I227="","",Raw_Data!I227)</f>
        <v>1.05369</v>
      </c>
      <c r="G227" s="18">
        <f t="shared" si="9"/>
        <v>7.3645948998282123E-3</v>
      </c>
      <c r="H227" s="19">
        <f>IFERROR(INDEX(Thresholds!$B$2:$B$5,MATCH(C227,Thresholds!$A$2:$A$5,0)),"")</f>
        <v>3.0000000000000001E-3</v>
      </c>
      <c r="I227" s="20">
        <f t="shared" si="10"/>
        <v>8422.5255199999883</v>
      </c>
      <c r="J227" s="11" t="str">
        <f t="shared" si="11"/>
        <v>BREACH</v>
      </c>
      <c r="K227" s="11" t="str">
        <f>IF(COUNTIF(Raw_Data!$A$2:A227,Raw_Data!A227)&gt;1,"DUP","UNIQUE")</f>
        <v>UNIQUE</v>
      </c>
      <c r="L227" s="11" t="str">
        <f>IF(Raw_Data!B227&lt;&gt;Thresholds!$E$1,"STALE","CURRENT")</f>
        <v>CURRENT</v>
      </c>
    </row>
    <row r="228" spans="1:12" x14ac:dyDescent="0.3">
      <c r="A228" s="15" t="str">
        <f>Raw_Data!A228</f>
        <v>P0224</v>
      </c>
      <c r="B228" s="15" t="str">
        <f>Raw_Data!C228</f>
        <v>Zurich Equities</v>
      </c>
      <c r="C228" s="11" t="str">
        <f>IFERROR(INDEX(Thresholds!$A$2:$A$5,MATCH(TRIM(Raw_Data!D228),Thresholds!$A$2:$A$5,0)),"UNMAPPED")</f>
        <v>Equity</v>
      </c>
      <c r="D228" s="16">
        <f>Raw_Data!G228</f>
        <v>2704</v>
      </c>
      <c r="E228" s="17">
        <f>Raw_Data!H228</f>
        <v>182.1</v>
      </c>
      <c r="F228" s="14">
        <f>IF(Raw_Data!I228="","",Raw_Data!I228)</f>
        <v>186.12</v>
      </c>
      <c r="G228" s="18">
        <f t="shared" si="9"/>
        <v>-2.1598968407479099E-2</v>
      </c>
      <c r="H228" s="19">
        <f>IFERROR(INDEX(Thresholds!$B$2:$B$5,MATCH(C228,Thresholds!$A$2:$A$5,0)),"")</f>
        <v>0.01</v>
      </c>
      <c r="I228" s="20">
        <f t="shared" si="10"/>
        <v>-10870.080000000027</v>
      </c>
      <c r="J228" s="11" t="str">
        <f t="shared" si="11"/>
        <v>BREACH</v>
      </c>
      <c r="K228" s="11" t="str">
        <f>IF(COUNTIF(Raw_Data!$A$2:A228,Raw_Data!A228)&gt;1,"DUP","UNIQUE")</f>
        <v>UNIQUE</v>
      </c>
      <c r="L228" s="11" t="str">
        <f>IF(Raw_Data!B228&lt;&gt;Thresholds!$E$1,"STALE","CURRENT")</f>
        <v>CURRENT</v>
      </c>
    </row>
    <row r="229" spans="1:12" x14ac:dyDescent="0.3">
      <c r="A229" s="15" t="str">
        <f>Raw_Data!A229</f>
        <v>P0225</v>
      </c>
      <c r="B229" s="15" t="str">
        <f>Raw_Data!C229</f>
        <v>Zurich Equities</v>
      </c>
      <c r="C229" s="11" t="str">
        <f>IFERROR(INDEX(Thresholds!$A$2:$A$5,MATCH(TRIM(Raw_Data!D229),Thresholds!$A$2:$A$5,0)),"UNMAPPED")</f>
        <v>Equity</v>
      </c>
      <c r="D229" s="16">
        <f>Raw_Data!G229</f>
        <v>3958</v>
      </c>
      <c r="E229" s="17">
        <f>Raw_Data!H229</f>
        <v>184.76</v>
      </c>
      <c r="F229" s="14">
        <f>IF(Raw_Data!I229="","",Raw_Data!I229)</f>
        <v>183.32</v>
      </c>
      <c r="G229" s="18">
        <f t="shared" si="9"/>
        <v>7.8551167357625885E-3</v>
      </c>
      <c r="H229" s="19">
        <f>IFERROR(INDEX(Thresholds!$B$2:$B$5,MATCH(C229,Thresholds!$A$2:$A$5,0)),"")</f>
        <v>0.01</v>
      </c>
      <c r="I229" s="20">
        <f t="shared" si="10"/>
        <v>5699.5199999999913</v>
      </c>
      <c r="J229" s="11" t="str">
        <f t="shared" si="11"/>
        <v>OK</v>
      </c>
      <c r="K229" s="11" t="str">
        <f>IF(COUNTIF(Raw_Data!$A$2:A229,Raw_Data!A229)&gt;1,"DUP","UNIQUE")</f>
        <v>UNIQUE</v>
      </c>
      <c r="L229" s="11" t="str">
        <f>IF(Raw_Data!B229&lt;&gt;Thresholds!$E$1,"STALE","CURRENT")</f>
        <v>CURRENT</v>
      </c>
    </row>
    <row r="230" spans="1:12" x14ac:dyDescent="0.3">
      <c r="A230" s="15" t="str">
        <f>Raw_Data!A230</f>
        <v>P0226</v>
      </c>
      <c r="B230" s="15" t="str">
        <f>Raw_Data!C230</f>
        <v>Zurich FX</v>
      </c>
      <c r="C230" s="11" t="str">
        <f>IFERROR(INDEX(Thresholds!$A$2:$A$5,MATCH(TRIM(Raw_Data!D230),Thresholds!$A$2:$A$5,0)),"UNMAPPED")</f>
        <v>FX Forward</v>
      </c>
      <c r="D230" s="16">
        <f>Raw_Data!G230</f>
        <v>2393654</v>
      </c>
      <c r="E230" s="17">
        <f>Raw_Data!H230</f>
        <v>1.0983799999999999</v>
      </c>
      <c r="F230" s="14">
        <f>IF(Raw_Data!I230="","",Raw_Data!I230)</f>
        <v>1.0987899999999999</v>
      </c>
      <c r="G230" s="18">
        <f t="shared" si="9"/>
        <v>-3.7313772422393858E-4</v>
      </c>
      <c r="H230" s="19">
        <f>IFERROR(INDEX(Thresholds!$B$2:$B$5,MATCH(C230,Thresholds!$A$2:$A$5,0)),"")</f>
        <v>3.0000000000000001E-3</v>
      </c>
      <c r="I230" s="20">
        <f t="shared" si="10"/>
        <v>-981.3981400000514</v>
      </c>
      <c r="J230" s="11" t="str">
        <f t="shared" si="11"/>
        <v>OK</v>
      </c>
      <c r="K230" s="11" t="str">
        <f>IF(COUNTIF(Raw_Data!$A$2:A230,Raw_Data!A230)&gt;1,"DUP","UNIQUE")</f>
        <v>UNIQUE</v>
      </c>
      <c r="L230" s="11" t="str">
        <f>IF(Raw_Data!B230&lt;&gt;Thresholds!$E$1,"STALE","CURRENT")</f>
        <v>CURRENT</v>
      </c>
    </row>
    <row r="231" spans="1:12" x14ac:dyDescent="0.3">
      <c r="A231" s="15" t="str">
        <f>Raw_Data!A231</f>
        <v>P0227</v>
      </c>
      <c r="B231" s="15" t="str">
        <f>Raw_Data!C231</f>
        <v>Singapore Equities</v>
      </c>
      <c r="C231" s="11" t="str">
        <f>IFERROR(INDEX(Thresholds!$A$2:$A$5,MATCH(TRIM(Raw_Data!D231),Thresholds!$A$2:$A$5,0)),"UNMAPPED")</f>
        <v>Equity</v>
      </c>
      <c r="D231" s="16">
        <f>Raw_Data!G231</f>
        <v>4854</v>
      </c>
      <c r="E231" s="17">
        <f>Raw_Data!H231</f>
        <v>280.13</v>
      </c>
      <c r="F231" s="14">
        <f>IF(Raw_Data!I231="","",Raw_Data!I231)</f>
        <v>278.66000000000003</v>
      </c>
      <c r="G231" s="18">
        <f t="shared" si="9"/>
        <v>5.2752458192778665E-3</v>
      </c>
      <c r="H231" s="19">
        <f>IFERROR(INDEX(Thresholds!$B$2:$B$5,MATCH(C231,Thresholds!$A$2:$A$5,0)),"")</f>
        <v>0.01</v>
      </c>
      <c r="I231" s="20">
        <f t="shared" si="10"/>
        <v>7135.3799999998564</v>
      </c>
      <c r="J231" s="11" t="str">
        <f t="shared" si="11"/>
        <v>OK</v>
      </c>
      <c r="K231" s="11" t="str">
        <f>IF(COUNTIF(Raw_Data!$A$2:A231,Raw_Data!A231)&gt;1,"DUP","UNIQUE")</f>
        <v>UNIQUE</v>
      </c>
      <c r="L231" s="11" t="str">
        <f>IF(Raw_Data!B231&lt;&gt;Thresholds!$E$1,"STALE","CURRENT")</f>
        <v>CURRENT</v>
      </c>
    </row>
    <row r="232" spans="1:12" x14ac:dyDescent="0.3">
      <c r="A232" s="15" t="str">
        <f>Raw_Data!A232</f>
        <v>P0228</v>
      </c>
      <c r="B232" s="15" t="str">
        <f>Raw_Data!C232</f>
        <v>London Credit</v>
      </c>
      <c r="C232" s="11" t="str">
        <f>IFERROR(INDEX(Thresholds!$A$2:$A$5,MATCH(TRIM(Raw_Data!D232),Thresholds!$A$2:$A$5,0)),"UNMAPPED")</f>
        <v>Corporate Bond</v>
      </c>
      <c r="D232" s="16">
        <f>Raw_Data!G232</f>
        <v>14624</v>
      </c>
      <c r="E232" s="17">
        <f>Raw_Data!H232</f>
        <v>93.028000000000006</v>
      </c>
      <c r="F232" s="14">
        <f>IF(Raw_Data!I232="","",Raw_Data!I232)</f>
        <v>93.272000000000006</v>
      </c>
      <c r="G232" s="18">
        <f t="shared" si="9"/>
        <v>-2.6160048031563573E-3</v>
      </c>
      <c r="H232" s="19">
        <f>IFERROR(INDEX(Thresholds!$B$2:$B$5,MATCH(C232,Thresholds!$A$2:$A$5,0)),"")</f>
        <v>5.0000000000000001E-3</v>
      </c>
      <c r="I232" s="20">
        <f t="shared" si="10"/>
        <v>-3568.2559999999967</v>
      </c>
      <c r="J232" s="11" t="str">
        <f t="shared" si="11"/>
        <v>OK</v>
      </c>
      <c r="K232" s="11" t="str">
        <f>IF(COUNTIF(Raw_Data!$A$2:A232,Raw_Data!A232)&gt;1,"DUP","UNIQUE")</f>
        <v>UNIQUE</v>
      </c>
      <c r="L232" s="11" t="str">
        <f>IF(Raw_Data!B232&lt;&gt;Thresholds!$E$1,"STALE","CURRENT")</f>
        <v>CURRENT</v>
      </c>
    </row>
    <row r="233" spans="1:12" x14ac:dyDescent="0.3">
      <c r="A233" s="15" t="str">
        <f>Raw_Data!A233</f>
        <v>P0229</v>
      </c>
      <c r="B233" s="15" t="str">
        <f>Raw_Data!C233</f>
        <v>London Credit</v>
      </c>
      <c r="C233" s="11" t="str">
        <f>IFERROR(INDEX(Thresholds!$A$2:$A$5,MATCH(TRIM(Raw_Data!D233),Thresholds!$A$2:$A$5,0)),"UNMAPPED")</f>
        <v>Corporate Bond</v>
      </c>
      <c r="D233" s="16">
        <f>Raw_Data!G233</f>
        <v>5182</v>
      </c>
      <c r="E233" s="17">
        <f>Raw_Data!H233</f>
        <v>105.44799999999999</v>
      </c>
      <c r="F233" s="14">
        <f>IF(Raw_Data!I233="","",Raw_Data!I233)</f>
        <v>105.197</v>
      </c>
      <c r="G233" s="18">
        <f t="shared" si="9"/>
        <v>2.3859996007489811E-3</v>
      </c>
      <c r="H233" s="19">
        <f>IFERROR(INDEX(Thresholds!$B$2:$B$5,MATCH(C233,Thresholds!$A$2:$A$5,0)),"")</f>
        <v>5.0000000000000001E-3</v>
      </c>
      <c r="I233" s="20">
        <f t="shared" si="10"/>
        <v>1300.6819999999511</v>
      </c>
      <c r="J233" s="11" t="str">
        <f t="shared" si="11"/>
        <v>OK</v>
      </c>
      <c r="K233" s="11" t="str">
        <f>IF(COUNTIF(Raw_Data!$A$2:A233,Raw_Data!A233)&gt;1,"DUP","UNIQUE")</f>
        <v>UNIQUE</v>
      </c>
      <c r="L233" s="11" t="str">
        <f>IF(Raw_Data!B233&lt;&gt;Thresholds!$E$1,"STALE","CURRENT")</f>
        <v>CURRENT</v>
      </c>
    </row>
    <row r="234" spans="1:12" x14ac:dyDescent="0.3">
      <c r="A234" s="15" t="str">
        <f>Raw_Data!A234</f>
        <v>P0230</v>
      </c>
      <c r="B234" s="15" t="str">
        <f>Raw_Data!C234</f>
        <v>Singapore FX</v>
      </c>
      <c r="C234" s="11" t="str">
        <f>IFERROR(INDEX(Thresholds!$A$2:$A$5,MATCH(TRIM(Raw_Data!D234),Thresholds!$A$2:$A$5,0)),"UNMAPPED")</f>
        <v>FX Forward</v>
      </c>
      <c r="D234" s="16">
        <f>Raw_Data!G234</f>
        <v>3420259</v>
      </c>
      <c r="E234" s="17">
        <f>Raw_Data!H234</f>
        <v>1.5926899999999999</v>
      </c>
      <c r="F234" s="14">
        <f>IF(Raw_Data!I234="","",Raw_Data!I234)</f>
        <v>1.5945400000000001</v>
      </c>
      <c r="G234" s="18">
        <f t="shared" si="9"/>
        <v>-1.1602092139426602E-3</v>
      </c>
      <c r="H234" s="19">
        <f>IFERROR(INDEX(Thresholds!$B$2:$B$5,MATCH(C234,Thresholds!$A$2:$A$5,0)),"")</f>
        <v>3.0000000000000001E-3</v>
      </c>
      <c r="I234" s="20">
        <f t="shared" si="10"/>
        <v>-6327.4791500004421</v>
      </c>
      <c r="J234" s="11" t="str">
        <f t="shared" si="11"/>
        <v>OK</v>
      </c>
      <c r="K234" s="11" t="str">
        <f>IF(COUNTIF(Raw_Data!$A$2:A234,Raw_Data!A234)&gt;1,"DUP","UNIQUE")</f>
        <v>UNIQUE</v>
      </c>
      <c r="L234" s="11" t="str">
        <f>IF(Raw_Data!B234&lt;&gt;Thresholds!$E$1,"STALE","CURRENT")</f>
        <v>CURRENT</v>
      </c>
    </row>
    <row r="235" spans="1:12" x14ac:dyDescent="0.3">
      <c r="A235" s="15" t="str">
        <f>Raw_Data!A235</f>
        <v>P0231</v>
      </c>
      <c r="B235" s="15" t="str">
        <f>Raw_Data!C235</f>
        <v>Singapore FX</v>
      </c>
      <c r="C235" s="11" t="str">
        <f>IFERROR(INDEX(Thresholds!$A$2:$A$5,MATCH(TRIM(Raw_Data!D235),Thresholds!$A$2:$A$5,0)),"UNMAPPED")</f>
        <v>FX Forward</v>
      </c>
      <c r="D235" s="16">
        <f>Raw_Data!G235</f>
        <v>4511997</v>
      </c>
      <c r="E235" s="17">
        <f>Raw_Data!H235</f>
        <v>1.4697</v>
      </c>
      <c r="F235" s="14">
        <f>IF(Raw_Data!I235="","",Raw_Data!I235)</f>
        <v>1.4680299999999999</v>
      </c>
      <c r="G235" s="18">
        <f t="shared" si="9"/>
        <v>1.1375789323106887E-3</v>
      </c>
      <c r="H235" s="19">
        <f>IFERROR(INDEX(Thresholds!$B$2:$B$5,MATCH(C235,Thresholds!$A$2:$A$5,0)),"")</f>
        <v>3.0000000000000001E-3</v>
      </c>
      <c r="I235" s="20">
        <f t="shared" si="10"/>
        <v>7535.034990000272</v>
      </c>
      <c r="J235" s="11" t="str">
        <f t="shared" si="11"/>
        <v>OK</v>
      </c>
      <c r="K235" s="11" t="str">
        <f>IF(COUNTIF(Raw_Data!$A$2:A235,Raw_Data!A235)&gt;1,"DUP","UNIQUE")</f>
        <v>UNIQUE</v>
      </c>
      <c r="L235" s="11" t="str">
        <f>IF(Raw_Data!B235&lt;&gt;Thresholds!$E$1,"STALE","CURRENT")</f>
        <v>CURRENT</v>
      </c>
    </row>
    <row r="236" spans="1:12" x14ac:dyDescent="0.3">
      <c r="A236" s="15" t="str">
        <f>Raw_Data!A236</f>
        <v>P0232</v>
      </c>
      <c r="B236" s="15" t="str">
        <f>Raw_Data!C236</f>
        <v>London Credit</v>
      </c>
      <c r="C236" s="11" t="str">
        <f>IFERROR(INDEX(Thresholds!$A$2:$A$5,MATCH(TRIM(Raw_Data!D236),Thresholds!$A$2:$A$5,0)),"UNMAPPED")</f>
        <v>Corporate Bond</v>
      </c>
      <c r="D236" s="16">
        <f>Raw_Data!G236</f>
        <v>11710</v>
      </c>
      <c r="E236" s="17">
        <f>Raw_Data!H236</f>
        <v>92.805000000000007</v>
      </c>
      <c r="F236" s="14">
        <f>IF(Raw_Data!I236="","",Raw_Data!I236)</f>
        <v>92.921000000000006</v>
      </c>
      <c r="G236" s="18">
        <f t="shared" si="9"/>
        <v>-1.2483722732213349E-3</v>
      </c>
      <c r="H236" s="19">
        <f>IFERROR(INDEX(Thresholds!$B$2:$B$5,MATCH(C236,Thresholds!$A$2:$A$5,0)),"")</f>
        <v>5.0000000000000001E-3</v>
      </c>
      <c r="I236" s="20">
        <f t="shared" si="10"/>
        <v>-1358.359999999996</v>
      </c>
      <c r="J236" s="11" t="str">
        <f t="shared" si="11"/>
        <v>OK</v>
      </c>
      <c r="K236" s="11" t="str">
        <f>IF(COUNTIF(Raw_Data!$A$2:A236,Raw_Data!A236)&gt;1,"DUP","UNIQUE")</f>
        <v>UNIQUE</v>
      </c>
      <c r="L236" s="11" t="str">
        <f>IF(Raw_Data!B236&lt;&gt;Thresholds!$E$1,"STALE","CURRENT")</f>
        <v>CURRENT</v>
      </c>
    </row>
    <row r="237" spans="1:12" x14ac:dyDescent="0.3">
      <c r="A237" s="15" t="str">
        <f>Raw_Data!A237</f>
        <v>P0233</v>
      </c>
      <c r="B237" s="15" t="str">
        <f>Raw_Data!C237</f>
        <v>Singapore FX</v>
      </c>
      <c r="C237" s="11" t="str">
        <f>IFERROR(INDEX(Thresholds!$A$2:$A$5,MATCH(TRIM(Raw_Data!D237),Thresholds!$A$2:$A$5,0)),"UNMAPPED")</f>
        <v>FX Forward</v>
      </c>
      <c r="D237" s="16">
        <f>Raw_Data!G237</f>
        <v>1247387</v>
      </c>
      <c r="E237" s="17">
        <f>Raw_Data!H237</f>
        <v>1.27776</v>
      </c>
      <c r="F237" s="14">
        <f>IF(Raw_Data!I237="","",Raw_Data!I237)</f>
        <v>1.27827</v>
      </c>
      <c r="G237" s="18">
        <f t="shared" si="9"/>
        <v>-3.9897674200287141E-4</v>
      </c>
      <c r="H237" s="19">
        <f>IFERROR(INDEX(Thresholds!$B$2:$B$5,MATCH(C237,Thresholds!$A$2:$A$5,0)),"")</f>
        <v>3.0000000000000001E-3</v>
      </c>
      <c r="I237" s="20">
        <f t="shared" si="10"/>
        <v>-636.16737000001308</v>
      </c>
      <c r="J237" s="11" t="str">
        <f t="shared" si="11"/>
        <v>OK</v>
      </c>
      <c r="K237" s="11" t="str">
        <f>IF(COUNTIF(Raw_Data!$A$2:A237,Raw_Data!A237)&gt;1,"DUP","UNIQUE")</f>
        <v>UNIQUE</v>
      </c>
      <c r="L237" s="11" t="str">
        <f>IF(Raw_Data!B237&lt;&gt;Thresholds!$E$1,"STALE","CURRENT")</f>
        <v>CURRENT</v>
      </c>
    </row>
    <row r="238" spans="1:12" x14ac:dyDescent="0.3">
      <c r="A238" s="15" t="str">
        <f>Raw_Data!A238</f>
        <v>P0234</v>
      </c>
      <c r="B238" s="15" t="str">
        <f>Raw_Data!C238</f>
        <v>Singapore FX</v>
      </c>
      <c r="C238" s="11" t="str">
        <f>IFERROR(INDEX(Thresholds!$A$2:$A$5,MATCH(TRIM(Raw_Data!D238),Thresholds!$A$2:$A$5,0)),"UNMAPPED")</f>
        <v>FX Forward</v>
      </c>
      <c r="D238" s="16">
        <f>Raw_Data!G238</f>
        <v>2089825</v>
      </c>
      <c r="E238" s="17">
        <f>Raw_Data!H238</f>
        <v>0.79922000000000004</v>
      </c>
      <c r="F238" s="14">
        <f>IF(Raw_Data!I238="","",Raw_Data!I238)</f>
        <v>0.80025000000000002</v>
      </c>
      <c r="G238" s="18">
        <f t="shared" si="9"/>
        <v>-1.2870977819431119E-3</v>
      </c>
      <c r="H238" s="19">
        <f>IFERROR(INDEX(Thresholds!$B$2:$B$5,MATCH(C238,Thresholds!$A$2:$A$5,0)),"")</f>
        <v>3.0000000000000001E-3</v>
      </c>
      <c r="I238" s="20">
        <f t="shared" si="10"/>
        <v>-2152.5197499999485</v>
      </c>
      <c r="J238" s="11" t="str">
        <f t="shared" si="11"/>
        <v>OK</v>
      </c>
      <c r="K238" s="11" t="str">
        <f>IF(COUNTIF(Raw_Data!$A$2:A238,Raw_Data!A238)&gt;1,"DUP","UNIQUE")</f>
        <v>UNIQUE</v>
      </c>
      <c r="L238" s="11" t="str">
        <f>IF(Raw_Data!B238&lt;&gt;Thresholds!$E$1,"STALE","CURRENT")</f>
        <v>CURRENT</v>
      </c>
    </row>
    <row r="239" spans="1:12" x14ac:dyDescent="0.3">
      <c r="A239" s="15" t="str">
        <f>Raw_Data!A239</f>
        <v>P0235</v>
      </c>
      <c r="B239" s="15" t="str">
        <f>Raw_Data!C239</f>
        <v>Singapore Equities</v>
      </c>
      <c r="C239" s="11" t="str">
        <f>IFERROR(INDEX(Thresholds!$A$2:$A$5,MATCH(TRIM(Raw_Data!D239),Thresholds!$A$2:$A$5,0)),"UNMAPPED")</f>
        <v>Equity</v>
      </c>
      <c r="D239" s="16">
        <f>Raw_Data!G239</f>
        <v>12125</v>
      </c>
      <c r="E239" s="17">
        <f>Raw_Data!H239</f>
        <v>59.25</v>
      </c>
      <c r="F239" s="14">
        <f>IF(Raw_Data!I239="","",Raw_Data!I239)</f>
        <v>60.86</v>
      </c>
      <c r="G239" s="18">
        <f t="shared" si="9"/>
        <v>-2.6454157081827134E-2</v>
      </c>
      <c r="H239" s="19">
        <f>IFERROR(INDEX(Thresholds!$B$2:$B$5,MATCH(C239,Thresholds!$A$2:$A$5,0)),"")</f>
        <v>0.01</v>
      </c>
      <c r="I239" s="20">
        <f t="shared" si="10"/>
        <v>-19521.249999999993</v>
      </c>
      <c r="J239" s="11" t="str">
        <f t="shared" si="11"/>
        <v>BREACH</v>
      </c>
      <c r="K239" s="11" t="str">
        <f>IF(COUNTIF(Raw_Data!$A$2:A239,Raw_Data!A239)&gt;1,"DUP","UNIQUE")</f>
        <v>UNIQUE</v>
      </c>
      <c r="L239" s="11" t="str">
        <f>IF(Raw_Data!B239&lt;&gt;Thresholds!$E$1,"STALE","CURRENT")</f>
        <v>CURRENT</v>
      </c>
    </row>
    <row r="240" spans="1:12" x14ac:dyDescent="0.3">
      <c r="A240" s="15" t="str">
        <f>Raw_Data!A240</f>
        <v>P0236</v>
      </c>
      <c r="B240" s="15" t="str">
        <f>Raw_Data!C240</f>
        <v>Singapore Equities</v>
      </c>
      <c r="C240" s="11" t="str">
        <f>IFERROR(INDEX(Thresholds!$A$2:$A$5,MATCH(TRIM(Raw_Data!D240),Thresholds!$A$2:$A$5,0)),"UNMAPPED")</f>
        <v>Equity</v>
      </c>
      <c r="D240" s="16">
        <f>Raw_Data!G240</f>
        <v>14140</v>
      </c>
      <c r="E240" s="17">
        <f>Raw_Data!H240</f>
        <v>39.840000000000003</v>
      </c>
      <c r="F240" s="14">
        <f>IF(Raw_Data!I240="","",Raw_Data!I240)</f>
        <v>39.82</v>
      </c>
      <c r="G240" s="18">
        <f t="shared" si="9"/>
        <v>5.0226017076853661E-4</v>
      </c>
      <c r="H240" s="19">
        <f>IFERROR(INDEX(Thresholds!$B$2:$B$5,MATCH(C240,Thresholds!$A$2:$A$5,0)),"")</f>
        <v>0.01</v>
      </c>
      <c r="I240" s="20">
        <f t="shared" si="10"/>
        <v>282.80000000004418</v>
      </c>
      <c r="J240" s="11" t="str">
        <f t="shared" si="11"/>
        <v>OK</v>
      </c>
      <c r="K240" s="11" t="str">
        <f>IF(COUNTIF(Raw_Data!$A$2:A240,Raw_Data!A240)&gt;1,"DUP","UNIQUE")</f>
        <v>UNIQUE</v>
      </c>
      <c r="L240" s="11" t="str">
        <f>IF(Raw_Data!B240&lt;&gt;Thresholds!$E$1,"STALE","CURRENT")</f>
        <v>CURRENT</v>
      </c>
    </row>
    <row r="241" spans="1:12" x14ac:dyDescent="0.3">
      <c r="A241" s="15" t="str">
        <f>Raw_Data!A241</f>
        <v>P0237</v>
      </c>
      <c r="B241" s="15" t="str">
        <f>Raw_Data!C241</f>
        <v>New York Credit</v>
      </c>
      <c r="C241" s="11" t="str">
        <f>IFERROR(INDEX(Thresholds!$A$2:$A$5,MATCH(TRIM(Raw_Data!D241),Thresholds!$A$2:$A$5,0)),"UNMAPPED")</f>
        <v>Corporate Bond</v>
      </c>
      <c r="D241" s="16">
        <f>Raw_Data!G241</f>
        <v>13423</v>
      </c>
      <c r="E241" s="17">
        <f>Raw_Data!H241</f>
        <v>103.155</v>
      </c>
      <c r="F241" s="14">
        <f>IF(Raw_Data!I241="","",Raw_Data!I241)</f>
        <v>103.31399999999999</v>
      </c>
      <c r="G241" s="18">
        <f t="shared" si="9"/>
        <v>-1.5389976189092653E-3</v>
      </c>
      <c r="H241" s="19">
        <f>IFERROR(INDEX(Thresholds!$B$2:$B$5,MATCH(C241,Thresholds!$A$2:$A$5,0)),"")</f>
        <v>5.0000000000000001E-3</v>
      </c>
      <c r="I241" s="20">
        <f t="shared" si="10"/>
        <v>-2134.25699999989</v>
      </c>
      <c r="J241" s="11" t="str">
        <f t="shared" si="11"/>
        <v>OK</v>
      </c>
      <c r="K241" s="11" t="str">
        <f>IF(COUNTIF(Raw_Data!$A$2:A241,Raw_Data!A241)&gt;1,"DUP","UNIQUE")</f>
        <v>UNIQUE</v>
      </c>
      <c r="L241" s="11" t="str">
        <f>IF(Raw_Data!B241&lt;&gt;Thresholds!$E$1,"STALE","CURRENT")</f>
        <v>CURRENT</v>
      </c>
    </row>
    <row r="242" spans="1:12" x14ac:dyDescent="0.3">
      <c r="A242" s="15" t="str">
        <f>Raw_Data!A242</f>
        <v>P0238</v>
      </c>
      <c r="B242" s="15" t="str">
        <f>Raw_Data!C242</f>
        <v>London Rates</v>
      </c>
      <c r="C242" s="11" t="str">
        <f>IFERROR(INDEX(Thresholds!$A$2:$A$5,MATCH(TRIM(Raw_Data!D242),Thresholds!$A$2:$A$5,0)),"UNMAPPED")</f>
        <v>Government Bond</v>
      </c>
      <c r="D242" s="16">
        <f>Raw_Data!G242</f>
        <v>18844</v>
      </c>
      <c r="E242" s="17">
        <f>Raw_Data!H242</f>
        <v>99.400999999999996</v>
      </c>
      <c r="F242" s="14">
        <f>IF(Raw_Data!I242="","",Raw_Data!I242)</f>
        <v>99.358000000000004</v>
      </c>
      <c r="G242" s="18">
        <f t="shared" si="9"/>
        <v>4.3277843756911526E-4</v>
      </c>
      <c r="H242" s="19">
        <f>IFERROR(INDEX(Thresholds!$B$2:$B$5,MATCH(C242,Thresholds!$A$2:$A$5,0)),"")</f>
        <v>2.5000000000000001E-3</v>
      </c>
      <c r="I242" s="20">
        <f t="shared" si="10"/>
        <v>810.29199999985212</v>
      </c>
      <c r="J242" s="11" t="str">
        <f t="shared" si="11"/>
        <v>OK</v>
      </c>
      <c r="K242" s="11" t="str">
        <f>IF(COUNTIF(Raw_Data!$A$2:A242,Raw_Data!A242)&gt;1,"DUP","UNIQUE")</f>
        <v>UNIQUE</v>
      </c>
      <c r="L242" s="11" t="str">
        <f>IF(Raw_Data!B242&lt;&gt;Thresholds!$E$1,"STALE","CURRENT")</f>
        <v>CURRENT</v>
      </c>
    </row>
    <row r="243" spans="1:12" x14ac:dyDescent="0.3">
      <c r="A243" s="15" t="str">
        <f>Raw_Data!A243</f>
        <v>P0239</v>
      </c>
      <c r="B243" s="15" t="str">
        <f>Raw_Data!C243</f>
        <v>London Credit</v>
      </c>
      <c r="C243" s="11" t="str">
        <f>IFERROR(INDEX(Thresholds!$A$2:$A$5,MATCH(TRIM(Raw_Data!D243),Thresholds!$A$2:$A$5,0)),"UNMAPPED")</f>
        <v>Corporate Bond</v>
      </c>
      <c r="D243" s="16">
        <f>Raw_Data!G243</f>
        <v>5884</v>
      </c>
      <c r="E243" s="17">
        <f>Raw_Data!H243</f>
        <v>93.203999999999994</v>
      </c>
      <c r="F243" s="14">
        <f>IF(Raw_Data!I243="","",Raw_Data!I243)</f>
        <v>93.283000000000001</v>
      </c>
      <c r="G243" s="18">
        <f t="shared" si="9"/>
        <v>-8.4688528456425857E-4</v>
      </c>
      <c r="H243" s="19">
        <f>IFERROR(INDEX(Thresholds!$B$2:$B$5,MATCH(C243,Thresholds!$A$2:$A$5,0)),"")</f>
        <v>5.0000000000000001E-3</v>
      </c>
      <c r="I243" s="20">
        <f t="shared" si="10"/>
        <v>-464.83600000004549</v>
      </c>
      <c r="J243" s="11" t="str">
        <f t="shared" si="11"/>
        <v>OK</v>
      </c>
      <c r="K243" s="11" t="str">
        <f>IF(COUNTIF(Raw_Data!$A$2:A243,Raw_Data!A243)&gt;1,"DUP","UNIQUE")</f>
        <v>UNIQUE</v>
      </c>
      <c r="L243" s="11" t="str">
        <f>IF(Raw_Data!B243&lt;&gt;Thresholds!$E$1,"STALE","CURRENT")</f>
        <v>CURRENT</v>
      </c>
    </row>
    <row r="244" spans="1:12" x14ac:dyDescent="0.3">
      <c r="A244" s="15" t="str">
        <f>Raw_Data!A244</f>
        <v>P0240</v>
      </c>
      <c r="B244" s="15" t="str">
        <f>Raw_Data!C244</f>
        <v>Singapore Equities</v>
      </c>
      <c r="C244" s="11" t="str">
        <f>IFERROR(INDEX(Thresholds!$A$2:$A$5,MATCH(TRIM(Raw_Data!D244),Thresholds!$A$2:$A$5,0)),"UNMAPPED")</f>
        <v>Equity</v>
      </c>
      <c r="D244" s="16">
        <f>Raw_Data!G244</f>
        <v>6888</v>
      </c>
      <c r="E244" s="17">
        <f>Raw_Data!H244</f>
        <v>280.89</v>
      </c>
      <c r="F244" s="14">
        <f>IF(Raw_Data!I244="","",Raw_Data!I244)</f>
        <v>281.05</v>
      </c>
      <c r="G244" s="18">
        <f t="shared" si="9"/>
        <v>-5.6929371997874048E-4</v>
      </c>
      <c r="H244" s="19">
        <f>IFERROR(INDEX(Thresholds!$B$2:$B$5,MATCH(C244,Thresholds!$A$2:$A$5,0)),"")</f>
        <v>0.01</v>
      </c>
      <c r="I244" s="20">
        <f t="shared" si="10"/>
        <v>-1102.0800000001723</v>
      </c>
      <c r="J244" s="11" t="str">
        <f t="shared" si="11"/>
        <v>OK</v>
      </c>
      <c r="K244" s="11" t="str">
        <f>IF(COUNTIF(Raw_Data!$A$2:A244,Raw_Data!A244)&gt;1,"DUP","UNIQUE")</f>
        <v>UNIQUE</v>
      </c>
      <c r="L244" s="11" t="str">
        <f>IF(Raw_Data!B244&lt;&gt;Thresholds!$E$1,"STALE","CURRENT")</f>
        <v>CURRENT</v>
      </c>
    </row>
    <row r="245" spans="1:12" x14ac:dyDescent="0.3">
      <c r="A245" s="15" t="str">
        <f>Raw_Data!A245</f>
        <v>P0241</v>
      </c>
      <c r="B245" s="15" t="str">
        <f>Raw_Data!C245</f>
        <v>Zurich FX</v>
      </c>
      <c r="C245" s="11" t="str">
        <f>IFERROR(INDEX(Thresholds!$A$2:$A$5,MATCH(TRIM(Raw_Data!D245),Thresholds!$A$2:$A$5,0)),"UNMAPPED")</f>
        <v>FX Forward</v>
      </c>
      <c r="D245" s="16">
        <f>Raw_Data!G245</f>
        <v>1495568</v>
      </c>
      <c r="E245" s="17">
        <f>Raw_Data!H245</f>
        <v>1.3603700000000001</v>
      </c>
      <c r="F245" s="14">
        <f>IF(Raw_Data!I245="","",Raw_Data!I245)</f>
        <v>1.3483000000000001</v>
      </c>
      <c r="G245" s="18">
        <f t="shared" si="9"/>
        <v>8.9520136468145255E-3</v>
      </c>
      <c r="H245" s="19">
        <f>IFERROR(INDEX(Thresholds!$B$2:$B$5,MATCH(C245,Thresholds!$A$2:$A$5,0)),"")</f>
        <v>3.0000000000000001E-3</v>
      </c>
      <c r="I245" s="20">
        <f t="shared" si="10"/>
        <v>18051.505760000036</v>
      </c>
      <c r="J245" s="11" t="str">
        <f t="shared" si="11"/>
        <v>BREACH</v>
      </c>
      <c r="K245" s="11" t="str">
        <f>IF(COUNTIF(Raw_Data!$A$2:A245,Raw_Data!A245)&gt;1,"DUP","UNIQUE")</f>
        <v>UNIQUE</v>
      </c>
      <c r="L245" s="11" t="str">
        <f>IF(Raw_Data!B245&lt;&gt;Thresholds!$E$1,"STALE","CURRENT")</f>
        <v>CURRENT</v>
      </c>
    </row>
    <row r="246" spans="1:12" x14ac:dyDescent="0.3">
      <c r="A246" s="15" t="str">
        <f>Raw_Data!A246</f>
        <v>P0242</v>
      </c>
      <c r="B246" s="15" t="str">
        <f>Raw_Data!C246</f>
        <v>Singapore Equities</v>
      </c>
      <c r="C246" s="11" t="str">
        <f>IFERROR(INDEX(Thresholds!$A$2:$A$5,MATCH(TRIM(Raw_Data!D246),Thresholds!$A$2:$A$5,0)),"UNMAPPED")</f>
        <v>Equity</v>
      </c>
      <c r="D246" s="16">
        <f>Raw_Data!G246</f>
        <v>9165</v>
      </c>
      <c r="E246" s="17">
        <f>Raw_Data!H246</f>
        <v>121.36</v>
      </c>
      <c r="F246" s="14">
        <f>IF(Raw_Data!I246="","",Raw_Data!I246)</f>
        <v>121.6</v>
      </c>
      <c r="G246" s="18">
        <f t="shared" si="9"/>
        <v>-1.9736842105262738E-3</v>
      </c>
      <c r="H246" s="19">
        <f>IFERROR(INDEX(Thresholds!$B$2:$B$5,MATCH(C246,Thresholds!$A$2:$A$5,0)),"")</f>
        <v>0.01</v>
      </c>
      <c r="I246" s="20">
        <f t="shared" si="10"/>
        <v>-2199.5999999999531</v>
      </c>
      <c r="J246" s="11" t="str">
        <f t="shared" si="11"/>
        <v>OK</v>
      </c>
      <c r="K246" s="11" t="str">
        <f>IF(COUNTIF(Raw_Data!$A$2:A246,Raw_Data!A246)&gt;1,"DUP","UNIQUE")</f>
        <v>UNIQUE</v>
      </c>
      <c r="L246" s="11" t="str">
        <f>IF(Raw_Data!B246&lt;&gt;Thresholds!$E$1,"STALE","CURRENT")</f>
        <v>CURRENT</v>
      </c>
    </row>
    <row r="247" spans="1:12" x14ac:dyDescent="0.3">
      <c r="A247" s="15" t="str">
        <f>Raw_Data!A247</f>
        <v>P0243</v>
      </c>
      <c r="B247" s="15" t="str">
        <f>Raw_Data!C247</f>
        <v>Zurich Equities</v>
      </c>
      <c r="C247" s="11" t="str">
        <f>IFERROR(INDEX(Thresholds!$A$2:$A$5,MATCH(TRIM(Raw_Data!D247),Thresholds!$A$2:$A$5,0)),"UNMAPPED")</f>
        <v>Equity</v>
      </c>
      <c r="D247" s="16">
        <f>Raw_Data!G247</f>
        <v>32121</v>
      </c>
      <c r="E247" s="17">
        <f>Raw_Data!H247</f>
        <v>187.7</v>
      </c>
      <c r="F247" s="14">
        <f>IF(Raw_Data!I247="","",Raw_Data!I247)</f>
        <v>188.87</v>
      </c>
      <c r="G247" s="18">
        <f t="shared" si="9"/>
        <v>-6.1947371207709849E-3</v>
      </c>
      <c r="H247" s="19">
        <f>IFERROR(INDEX(Thresholds!$B$2:$B$5,MATCH(C247,Thresholds!$A$2:$A$5,0)),"")</f>
        <v>0.01</v>
      </c>
      <c r="I247" s="20">
        <f t="shared" si="10"/>
        <v>-37581.570000000509</v>
      </c>
      <c r="J247" s="11" t="str">
        <f t="shared" si="11"/>
        <v>OK</v>
      </c>
      <c r="K247" s="11" t="str">
        <f>IF(COUNTIF(Raw_Data!$A$2:A247,Raw_Data!A247)&gt;1,"DUP","UNIQUE")</f>
        <v>UNIQUE</v>
      </c>
      <c r="L247" s="11" t="str">
        <f>IF(Raw_Data!B247&lt;&gt;Thresholds!$E$1,"STALE","CURRENT")</f>
        <v>CURRENT</v>
      </c>
    </row>
    <row r="248" spans="1:12" x14ac:dyDescent="0.3">
      <c r="A248" s="15" t="str">
        <f>Raw_Data!A248</f>
        <v>P0244</v>
      </c>
      <c r="B248" s="15" t="str">
        <f>Raw_Data!C248</f>
        <v>London Rates</v>
      </c>
      <c r="C248" s="11" t="str">
        <f>IFERROR(INDEX(Thresholds!$A$2:$A$5,MATCH(TRIM(Raw_Data!D248),Thresholds!$A$2:$A$5,0)),"UNMAPPED")</f>
        <v>Government Bond</v>
      </c>
      <c r="D248" s="16">
        <f>Raw_Data!G248</f>
        <v>19087</v>
      </c>
      <c r="E248" s="17">
        <f>Raw_Data!H248</f>
        <v>97.918999999999997</v>
      </c>
      <c r="F248" s="14">
        <f>IF(Raw_Data!I248="","",Raw_Data!I248)</f>
        <v>97.853999999999999</v>
      </c>
      <c r="G248" s="18">
        <f t="shared" si="9"/>
        <v>6.6425491037666042E-4</v>
      </c>
      <c r="H248" s="19">
        <f>IFERROR(INDEX(Thresholds!$B$2:$B$5,MATCH(C248,Thresholds!$A$2:$A$5,0)),"")</f>
        <v>2.5000000000000001E-3</v>
      </c>
      <c r="I248" s="20">
        <f t="shared" si="10"/>
        <v>1240.6549999999565</v>
      </c>
      <c r="J248" s="11" t="str">
        <f t="shared" si="11"/>
        <v>OK</v>
      </c>
      <c r="K248" s="11" t="str">
        <f>IF(COUNTIF(Raw_Data!$A$2:A248,Raw_Data!A248)&gt;1,"DUP","UNIQUE")</f>
        <v>UNIQUE</v>
      </c>
      <c r="L248" s="11" t="str">
        <f>IF(Raw_Data!B248&lt;&gt;Thresholds!$E$1,"STALE","CURRENT")</f>
        <v>CURRENT</v>
      </c>
    </row>
    <row r="249" spans="1:12" x14ac:dyDescent="0.3">
      <c r="A249" s="15" t="str">
        <f>Raw_Data!A249</f>
        <v>P0245</v>
      </c>
      <c r="B249" s="15" t="str">
        <f>Raw_Data!C249</f>
        <v>New York Credit</v>
      </c>
      <c r="C249" s="11" t="str">
        <f>IFERROR(INDEX(Thresholds!$A$2:$A$5,MATCH(TRIM(Raw_Data!D249),Thresholds!$A$2:$A$5,0)),"UNMAPPED")</f>
        <v>Corporate Bond</v>
      </c>
      <c r="D249" s="16">
        <f>Raw_Data!G249</f>
        <v>8457</v>
      </c>
      <c r="E249" s="17">
        <f>Raw_Data!H249</f>
        <v>96.882999999999996</v>
      </c>
      <c r="F249" s="14">
        <f>IF(Raw_Data!I249="","",Raw_Data!I249)</f>
        <v>97.016999999999996</v>
      </c>
      <c r="G249" s="18">
        <f t="shared" si="9"/>
        <v>-1.3812012327736412E-3</v>
      </c>
      <c r="H249" s="19">
        <f>IFERROR(INDEX(Thresholds!$B$2:$B$5,MATCH(C249,Thresholds!$A$2:$A$5,0)),"")</f>
        <v>5.0000000000000001E-3</v>
      </c>
      <c r="I249" s="20">
        <f t="shared" si="10"/>
        <v>-1133.2380000000028</v>
      </c>
      <c r="J249" s="11" t="str">
        <f t="shared" si="11"/>
        <v>OK</v>
      </c>
      <c r="K249" s="11" t="str">
        <f>IF(COUNTIF(Raw_Data!$A$2:A249,Raw_Data!A249)&gt;1,"DUP","UNIQUE")</f>
        <v>UNIQUE</v>
      </c>
      <c r="L249" s="11" t="str">
        <f>IF(Raw_Data!B249&lt;&gt;Thresholds!$E$1,"STALE","CURRENT")</f>
        <v>CURRENT</v>
      </c>
    </row>
    <row r="250" spans="1:12" x14ac:dyDescent="0.3">
      <c r="A250" s="15" t="str">
        <f>Raw_Data!A250</f>
        <v>P0246</v>
      </c>
      <c r="B250" s="15" t="str">
        <f>Raw_Data!C250</f>
        <v>London Credit</v>
      </c>
      <c r="C250" s="11" t="str">
        <f>IFERROR(INDEX(Thresholds!$A$2:$A$5,MATCH(TRIM(Raw_Data!D250),Thresholds!$A$2:$A$5,0)),"UNMAPPED")</f>
        <v>Corporate Bond</v>
      </c>
      <c r="D250" s="16">
        <f>Raw_Data!G250</f>
        <v>13298</v>
      </c>
      <c r="E250" s="17">
        <f>Raw_Data!H250</f>
        <v>106.86199999999999</v>
      </c>
      <c r="F250" s="14">
        <f>IF(Raw_Data!I250="","",Raw_Data!I250)</f>
        <v>107.383</v>
      </c>
      <c r="G250" s="18">
        <f t="shared" si="9"/>
        <v>-4.8517921831202409E-3</v>
      </c>
      <c r="H250" s="19">
        <f>IFERROR(INDEX(Thresholds!$B$2:$B$5,MATCH(C250,Thresholds!$A$2:$A$5,0)),"")</f>
        <v>5.0000000000000001E-3</v>
      </c>
      <c r="I250" s="20">
        <f t="shared" si="10"/>
        <v>-6928.2580000000107</v>
      </c>
      <c r="J250" s="11" t="str">
        <f t="shared" si="11"/>
        <v>OK</v>
      </c>
      <c r="K250" s="11" t="str">
        <f>IF(COUNTIF(Raw_Data!$A$2:A250,Raw_Data!A250)&gt;1,"DUP","UNIQUE")</f>
        <v>UNIQUE</v>
      </c>
      <c r="L250" s="11" t="str">
        <f>IF(Raw_Data!B250&lt;&gt;Thresholds!$E$1,"STALE","CURRENT")</f>
        <v>CURRENT</v>
      </c>
    </row>
    <row r="251" spans="1:12" x14ac:dyDescent="0.3">
      <c r="A251" s="15" t="str">
        <f>Raw_Data!A251</f>
        <v>P0247</v>
      </c>
      <c r="B251" s="15" t="str">
        <f>Raw_Data!C251</f>
        <v>Singapore Equities</v>
      </c>
      <c r="C251" s="11" t="str">
        <f>IFERROR(INDEX(Thresholds!$A$2:$A$5,MATCH(TRIM(Raw_Data!D251),Thresholds!$A$2:$A$5,0)),"UNMAPPED")</f>
        <v>Equity</v>
      </c>
      <c r="D251" s="16">
        <f>Raw_Data!G251</f>
        <v>24907</v>
      </c>
      <c r="E251" s="17">
        <f>Raw_Data!H251</f>
        <v>246</v>
      </c>
      <c r="F251" s="14">
        <f>IF(Raw_Data!I251="","",Raw_Data!I251)</f>
        <v>246.19</v>
      </c>
      <c r="G251" s="18">
        <f t="shared" si="9"/>
        <v>-7.7176164750801307E-4</v>
      </c>
      <c r="H251" s="19">
        <f>IFERROR(INDEX(Thresholds!$B$2:$B$5,MATCH(C251,Thresholds!$A$2:$A$5,0)),"")</f>
        <v>0.01</v>
      </c>
      <c r="I251" s="20">
        <f t="shared" si="10"/>
        <v>-4732.3299999999435</v>
      </c>
      <c r="J251" s="11" t="str">
        <f t="shared" si="11"/>
        <v>OK</v>
      </c>
      <c r="K251" s="11" t="str">
        <f>IF(COUNTIF(Raw_Data!$A$2:A251,Raw_Data!A251)&gt;1,"DUP","UNIQUE")</f>
        <v>UNIQUE</v>
      </c>
      <c r="L251" s="11" t="str">
        <f>IF(Raw_Data!B251&lt;&gt;Thresholds!$E$1,"STALE","CURRENT")</f>
        <v>CURRENT</v>
      </c>
    </row>
    <row r="252" spans="1:12" x14ac:dyDescent="0.3">
      <c r="A252" s="15" t="str">
        <f>Raw_Data!A252</f>
        <v>P0248</v>
      </c>
      <c r="B252" s="15" t="str">
        <f>Raw_Data!C252</f>
        <v>London Credit</v>
      </c>
      <c r="C252" s="11" t="str">
        <f>IFERROR(INDEX(Thresholds!$A$2:$A$5,MATCH(TRIM(Raw_Data!D252),Thresholds!$A$2:$A$5,0)),"UNMAPPED")</f>
        <v>Corporate Bond</v>
      </c>
      <c r="D252" s="16">
        <f>Raw_Data!G252</f>
        <v>8361</v>
      </c>
      <c r="E252" s="17">
        <f>Raw_Data!H252</f>
        <v>105.095</v>
      </c>
      <c r="F252" s="14">
        <f>IF(Raw_Data!I252="","",Raw_Data!I252)</f>
        <v>105.092</v>
      </c>
      <c r="G252" s="18">
        <f t="shared" si="9"/>
        <v>2.8546416473186481E-5</v>
      </c>
      <c r="H252" s="19">
        <f>IFERROR(INDEX(Thresholds!$B$2:$B$5,MATCH(C252,Thresholds!$A$2:$A$5,0)),"")</f>
        <v>5.0000000000000001E-3</v>
      </c>
      <c r="I252" s="20">
        <f t="shared" si="10"/>
        <v>25.083000000000951</v>
      </c>
      <c r="J252" s="11" t="str">
        <f t="shared" si="11"/>
        <v>OK</v>
      </c>
      <c r="K252" s="11" t="str">
        <f>IF(COUNTIF(Raw_Data!$A$2:A252,Raw_Data!A252)&gt;1,"DUP","UNIQUE")</f>
        <v>UNIQUE</v>
      </c>
      <c r="L252" s="11" t="str">
        <f>IF(Raw_Data!B252&lt;&gt;Thresholds!$E$1,"STALE","CURRENT")</f>
        <v>CURRENT</v>
      </c>
    </row>
    <row r="253" spans="1:12" x14ac:dyDescent="0.3">
      <c r="A253" s="15" t="str">
        <f>Raw_Data!A253</f>
        <v>P0249</v>
      </c>
      <c r="B253" s="15" t="str">
        <f>Raw_Data!C253</f>
        <v>London Rates</v>
      </c>
      <c r="C253" s="11" t="str">
        <f>IFERROR(INDEX(Thresholds!$A$2:$A$5,MATCH(TRIM(Raw_Data!D253),Thresholds!$A$2:$A$5,0)),"UNMAPPED")</f>
        <v>Government Bond</v>
      </c>
      <c r="D253" s="16">
        <f>Raw_Data!G253</f>
        <v>14380</v>
      </c>
      <c r="E253" s="17">
        <f>Raw_Data!H253</f>
        <v>99.76</v>
      </c>
      <c r="F253" s="14" t="str">
        <f>IF(Raw_Data!I253="","",Raw_Data!I253)</f>
        <v/>
      </c>
      <c r="G253" s="18" t="str">
        <f t="shared" si="9"/>
        <v/>
      </c>
      <c r="H253" s="19">
        <f>IFERROR(INDEX(Thresholds!$B$2:$B$5,MATCH(C253,Thresholds!$A$2:$A$5,0)),"")</f>
        <v>2.5000000000000001E-3</v>
      </c>
      <c r="I253" s="20" t="str">
        <f t="shared" si="10"/>
        <v/>
      </c>
      <c r="J253" s="11" t="str">
        <f t="shared" si="11"/>
        <v>NO INDEPENDENT PRICE</v>
      </c>
      <c r="K253" s="11" t="str">
        <f>IF(COUNTIF(Raw_Data!$A$2:A253,Raw_Data!A253)&gt;1,"DUP","UNIQUE")</f>
        <v>UNIQUE</v>
      </c>
      <c r="L253" s="11" t="str">
        <f>IF(Raw_Data!B253&lt;&gt;Thresholds!$E$1,"STALE","CURRENT")</f>
        <v>CURRENT</v>
      </c>
    </row>
    <row r="254" spans="1:12" x14ac:dyDescent="0.3">
      <c r="A254" s="15" t="str">
        <f>Raw_Data!A254</f>
        <v>P0250</v>
      </c>
      <c r="B254" s="15" t="str">
        <f>Raw_Data!C254</f>
        <v>Singapore Equities</v>
      </c>
      <c r="C254" s="11" t="str">
        <f>IFERROR(INDEX(Thresholds!$A$2:$A$5,MATCH(TRIM(Raw_Data!D254),Thresholds!$A$2:$A$5,0)),"UNMAPPED")</f>
        <v>Equity</v>
      </c>
      <c r="D254" s="16">
        <f>Raw_Data!G254</f>
        <v>3429</v>
      </c>
      <c r="E254" s="17">
        <f>Raw_Data!H254</f>
        <v>273.49</v>
      </c>
      <c r="F254" s="14">
        <f>IF(Raw_Data!I254="","",Raw_Data!I254)</f>
        <v>274.29000000000002</v>
      </c>
      <c r="G254" s="18">
        <f t="shared" si="9"/>
        <v>-2.9166210944621069E-3</v>
      </c>
      <c r="H254" s="19">
        <f>IFERROR(INDEX(Thresholds!$B$2:$B$5,MATCH(C254,Thresholds!$A$2:$A$5,0)),"")</f>
        <v>0.01</v>
      </c>
      <c r="I254" s="20">
        <f t="shared" si="10"/>
        <v>-2743.2000000000389</v>
      </c>
      <c r="J254" s="11" t="str">
        <f t="shared" si="11"/>
        <v>OK</v>
      </c>
      <c r="K254" s="11" t="str">
        <f>IF(COUNTIF(Raw_Data!$A$2:A254,Raw_Data!A254)&gt;1,"DUP","UNIQUE")</f>
        <v>UNIQUE</v>
      </c>
      <c r="L254" s="11" t="str">
        <f>IF(Raw_Data!B254&lt;&gt;Thresholds!$E$1,"STALE","CURRENT")</f>
        <v>CURRENT</v>
      </c>
    </row>
    <row r="255" spans="1:12" x14ac:dyDescent="0.3">
      <c r="A255" s="15" t="str">
        <f>Raw_Data!A255</f>
        <v>P0241</v>
      </c>
      <c r="B255" s="15" t="str">
        <f>Raw_Data!C255</f>
        <v>Zurich FX</v>
      </c>
      <c r="C255" s="11" t="str">
        <f>IFERROR(INDEX(Thresholds!$A$2:$A$5,MATCH(TRIM(Raw_Data!D255),Thresholds!$A$2:$A$5,0)),"UNMAPPED")</f>
        <v>FX Forward</v>
      </c>
      <c r="D255" s="16">
        <f>Raw_Data!G255</f>
        <v>1495568</v>
      </c>
      <c r="E255" s="17">
        <f>Raw_Data!H255</f>
        <v>1.3603700000000001</v>
      </c>
      <c r="F255" s="14">
        <f>IF(Raw_Data!I255="","",Raw_Data!I255)</f>
        <v>1.3483000000000001</v>
      </c>
      <c r="G255" s="18">
        <f t="shared" si="9"/>
        <v>8.9520136468145255E-3</v>
      </c>
      <c r="H255" s="19">
        <f>IFERROR(INDEX(Thresholds!$B$2:$B$5,MATCH(C255,Thresholds!$A$2:$A$5,0)),"")</f>
        <v>3.0000000000000001E-3</v>
      </c>
      <c r="I255" s="20">
        <f t="shared" si="10"/>
        <v>18051.505760000036</v>
      </c>
      <c r="J255" s="11" t="str">
        <f t="shared" si="11"/>
        <v>BREACH</v>
      </c>
      <c r="K255" s="11" t="str">
        <f>IF(COUNTIF(Raw_Data!$A$2:A255,Raw_Data!A255)&gt;1,"DUP","UNIQUE")</f>
        <v>DUP</v>
      </c>
      <c r="L255" s="11" t="str">
        <f>IF(Raw_Data!B255&lt;&gt;Thresholds!$E$1,"STALE","CURRENT")</f>
        <v>CURRENT</v>
      </c>
    </row>
  </sheetData>
  <autoFilter ref="A1:L255" xr:uid="{00000000-0009-0000-0000-000003000000}"/>
  <conditionalFormatting sqref="J2:J255">
    <cfRule type="expression" dxfId="3" priority="2">
      <formula>J2="BREACH"</formula>
    </cfRule>
    <cfRule type="expression" dxfId="2" priority="3">
      <formula>OR(J2="NO INDEPENDENT PRICE",J2="UNMAPPED ASSET CLASS")</formula>
    </cfRule>
  </conditionalFormatting>
  <conditionalFormatting sqref="K2:K255">
    <cfRule type="expression" dxfId="1" priority="4">
      <formula>K2="DUP"</formula>
    </cfRule>
  </conditionalFormatting>
  <conditionalFormatting sqref="L2:L255">
    <cfRule type="expression" dxfId="0" priority="5">
      <formula>L2="STALE"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33"/>
  <sheetViews>
    <sheetView zoomScaleNormal="100" workbookViewId="0"/>
  </sheetViews>
  <sheetFormatPr defaultColWidth="8.6640625" defaultRowHeight="14.4" x14ac:dyDescent="0.3"/>
  <cols>
    <col min="1" max="1" width="26" customWidth="1"/>
    <col min="2" max="8" width="16" customWidth="1"/>
  </cols>
  <sheetData>
    <row r="1" spans="1:8" ht="17.399999999999999" x14ac:dyDescent="0.3">
      <c r="A1" s="21" t="s">
        <v>570</v>
      </c>
    </row>
    <row r="2" spans="1:8" x14ac:dyDescent="0.3">
      <c r="A2" s="6" t="s">
        <v>23</v>
      </c>
      <c r="B2" s="22">
        <f>Thresholds!E1</f>
        <v>46293</v>
      </c>
    </row>
    <row r="4" spans="1:8" x14ac:dyDescent="0.3">
      <c r="A4" s="23" t="s">
        <v>571</v>
      </c>
    </row>
    <row r="5" spans="1:8" ht="30" customHeight="1" x14ac:dyDescent="0.3">
      <c r="A5" s="5" t="s">
        <v>21</v>
      </c>
      <c r="B5" s="5" t="s">
        <v>572</v>
      </c>
      <c r="C5" s="5" t="s">
        <v>573</v>
      </c>
      <c r="D5" s="5" t="s">
        <v>574</v>
      </c>
      <c r="E5" s="5" t="s">
        <v>575</v>
      </c>
      <c r="F5" s="5" t="s">
        <v>576</v>
      </c>
      <c r="G5" s="5" t="s">
        <v>577</v>
      </c>
      <c r="H5" s="5" t="s">
        <v>578</v>
      </c>
    </row>
    <row r="6" spans="1:8" x14ac:dyDescent="0.3">
      <c r="A6" s="15" t="str">
        <f>Thresholds!A2</f>
        <v>Equity</v>
      </c>
      <c r="B6" s="13">
        <f>COUNTIFS(Checks!$C$2:$C$255,$A6,Checks!$K$2:$K$255,"UNIQUE",Checks!$J$2:$J$255,"OK")+COUNTIFS(Checks!$C$2:$C$255,$A6,Checks!$K$2:$K$255,"UNIQUE",Checks!$J$2:$J$255,"BREACH")</f>
        <v>78</v>
      </c>
      <c r="C6" s="13">
        <f>COUNTIFS(Checks!$C$2:$C$255,$A6,Checks!$K$2:$K$255,"UNIQUE",Checks!$J$2:$J$255,"OK")</f>
        <v>67</v>
      </c>
      <c r="D6" s="13">
        <f>COUNTIFS(Checks!$C$2:$C$255,$A6,Checks!$K$2:$K$255,"UNIQUE",Checks!$J$2:$J$255,"BREACH")</f>
        <v>11</v>
      </c>
      <c r="E6" s="13">
        <f>COUNTIFS(Checks!$C$2:$C$255,$A6,Checks!$K$2:$K$255,"UNIQUE",Checks!$J$2:$J$255,"NO INDEPENDENT PRICE")</f>
        <v>2</v>
      </c>
      <c r="F6" s="24">
        <f>IF((C6+D6)=0,0,D6/(C6+D6))</f>
        <v>0.14102564102564102</v>
      </c>
      <c r="G6" s="25">
        <f>SUMIFS(Checks!$I$2:$I$255,Checks!$C$2:$C$255,$A6,Checks!$K$2:$K$255,"UNIQUE",Checks!$J$2:$J$255,"&lt;&gt;UNMAPPED ASSET CLASS")</f>
        <v>-253878.63000000312</v>
      </c>
      <c r="H6" s="25">
        <f>SUMIFS(Checks!$I$2:$I$255,Checks!$C$2:$C$255,$A6,Checks!$K$2:$K$255,"UNIQUE",Checks!$J$2:$J$255,"BREACH")</f>
        <v>69544.160000000673</v>
      </c>
    </row>
    <row r="7" spans="1:8" x14ac:dyDescent="0.3">
      <c r="A7" s="15" t="str">
        <f>Thresholds!A3</f>
        <v>Corporate Bond</v>
      </c>
      <c r="B7" s="13">
        <f>COUNTIFS(Checks!$C$2:$C$255,$A7,Checks!$K$2:$K$255,"UNIQUE",Checks!$J$2:$J$255,"OK")+COUNTIFS(Checks!$C$2:$C$255,$A7,Checks!$K$2:$K$255,"UNIQUE",Checks!$J$2:$J$255,"BREACH")</f>
        <v>68</v>
      </c>
      <c r="C7" s="13">
        <f>COUNTIFS(Checks!$C$2:$C$255,$A7,Checks!$K$2:$K$255,"UNIQUE",Checks!$J$2:$J$255,"OK")</f>
        <v>64</v>
      </c>
      <c r="D7" s="13">
        <f>COUNTIFS(Checks!$C$2:$C$255,$A7,Checks!$K$2:$K$255,"UNIQUE",Checks!$J$2:$J$255,"BREACH")</f>
        <v>4</v>
      </c>
      <c r="E7" s="13">
        <f>COUNTIFS(Checks!$C$2:$C$255,$A7,Checks!$K$2:$K$255,"UNIQUE",Checks!$J$2:$J$255,"NO INDEPENDENT PRICE")</f>
        <v>2</v>
      </c>
      <c r="F7" s="24">
        <f>IF((C7+D7)=0,0,D7/(C7+D7))</f>
        <v>5.8823529411764705E-2</v>
      </c>
      <c r="G7" s="25">
        <f>SUMIFS(Checks!$I$2:$I$255,Checks!$C$2:$C$255,$A7,Checks!$K$2:$K$255,"UNIQUE",Checks!$J$2:$J$255,"&lt;&gt;UNMAPPED ASSET CLASS")</f>
        <v>-36124.32800000014</v>
      </c>
      <c r="H7" s="25">
        <f>SUMIFS(Checks!$I$2:$I$255,Checks!$C$2:$C$255,$A7,Checks!$K$2:$K$255,"UNIQUE",Checks!$J$2:$J$255,"BREACH")</f>
        <v>-3355.5559999999005</v>
      </c>
    </row>
    <row r="8" spans="1:8" x14ac:dyDescent="0.3">
      <c r="A8" s="15" t="str">
        <f>Thresholds!A4</f>
        <v>Government Bond</v>
      </c>
      <c r="B8" s="13">
        <f>COUNTIFS(Checks!$C$2:$C$255,$A8,Checks!$K$2:$K$255,"UNIQUE",Checks!$J$2:$J$255,"OK")+COUNTIFS(Checks!$C$2:$C$255,$A8,Checks!$K$2:$K$255,"UNIQUE",Checks!$J$2:$J$255,"BREACH")</f>
        <v>56</v>
      </c>
      <c r="C8" s="13">
        <f>COUNTIFS(Checks!$C$2:$C$255,$A8,Checks!$K$2:$K$255,"UNIQUE",Checks!$J$2:$J$255,"OK")</f>
        <v>53</v>
      </c>
      <c r="D8" s="13">
        <f>COUNTIFS(Checks!$C$2:$C$255,$A8,Checks!$K$2:$K$255,"UNIQUE",Checks!$J$2:$J$255,"BREACH")</f>
        <v>3</v>
      </c>
      <c r="E8" s="13">
        <f>COUNTIFS(Checks!$C$2:$C$255,$A8,Checks!$K$2:$K$255,"UNIQUE",Checks!$J$2:$J$255,"NO INDEPENDENT PRICE")</f>
        <v>2</v>
      </c>
      <c r="F8" s="24">
        <f>IF((C8+D8)=0,0,D8/(C8+D8))</f>
        <v>5.3571428571428568E-2</v>
      </c>
      <c r="G8" s="25">
        <f>SUMIFS(Checks!$I$2:$I$255,Checks!$C$2:$C$255,$A8,Checks!$K$2:$K$255,"UNIQUE",Checks!$J$2:$J$255,"&lt;&gt;UNMAPPED ASSET CLASS")</f>
        <v>6558.1169999988251</v>
      </c>
      <c r="H8" s="25">
        <f>SUMIFS(Checks!$I$2:$I$255,Checks!$C$2:$C$255,$A8,Checks!$K$2:$K$255,"UNIQUE",Checks!$J$2:$J$255,"BREACH")</f>
        <v>6784.8300000001591</v>
      </c>
    </row>
    <row r="9" spans="1:8" x14ac:dyDescent="0.3">
      <c r="A9" s="15" t="str">
        <f>Thresholds!A5</f>
        <v>FX Forward</v>
      </c>
      <c r="B9" s="13">
        <f>COUNTIFS(Checks!$C$2:$C$255,$A9,Checks!$K$2:$K$255,"UNIQUE",Checks!$J$2:$J$255,"OK")+COUNTIFS(Checks!$C$2:$C$255,$A9,Checks!$K$2:$K$255,"UNIQUE",Checks!$J$2:$J$255,"BREACH")</f>
        <v>40</v>
      </c>
      <c r="C9" s="13">
        <f>COUNTIFS(Checks!$C$2:$C$255,$A9,Checks!$K$2:$K$255,"UNIQUE",Checks!$J$2:$J$255,"OK")</f>
        <v>36</v>
      </c>
      <c r="D9" s="13">
        <f>COUNTIFS(Checks!$C$2:$C$255,$A9,Checks!$K$2:$K$255,"UNIQUE",Checks!$J$2:$J$255,"BREACH")</f>
        <v>4</v>
      </c>
      <c r="E9" s="13">
        <f>COUNTIFS(Checks!$C$2:$C$255,$A9,Checks!$K$2:$K$255,"UNIQUE",Checks!$J$2:$J$255,"NO INDEPENDENT PRICE")</f>
        <v>0</v>
      </c>
      <c r="F9" s="24">
        <f>IF((C9+D9)=0,0,D9/(C9+D9))</f>
        <v>0.1</v>
      </c>
      <c r="G9" s="25">
        <f>SUMIFS(Checks!$I$2:$I$255,Checks!$C$2:$C$255,$A9,Checks!$K$2:$K$255,"UNIQUE",Checks!$J$2:$J$255,"&lt;&gt;UNMAPPED ASSET CLASS")</f>
        <v>49762.477729998624</v>
      </c>
      <c r="H9" s="25">
        <f>SUMIFS(Checks!$I$2:$I$255,Checks!$C$2:$C$255,$A9,Checks!$K$2:$K$255,"UNIQUE",Checks!$J$2:$J$255,"BREACH")</f>
        <v>35039.192669999982</v>
      </c>
    </row>
    <row r="10" spans="1:8" x14ac:dyDescent="0.3">
      <c r="A10" s="26" t="s">
        <v>579</v>
      </c>
      <c r="B10" s="27">
        <f>SUM(B6:B9)</f>
        <v>242</v>
      </c>
      <c r="C10" s="27">
        <f>SUM(C6:C9)</f>
        <v>220</v>
      </c>
      <c r="D10" s="27">
        <f>SUM(D6:D9)</f>
        <v>22</v>
      </c>
      <c r="E10" s="27">
        <f>SUM(E6:E9)</f>
        <v>6</v>
      </c>
      <c r="F10" s="28">
        <f>IF((C10+D10)=0,0,D10/(C10+D10))</f>
        <v>9.0909090909090912E-2</v>
      </c>
      <c r="G10" s="29">
        <f>SUM(G6:G9)</f>
        <v>-233682.36327000582</v>
      </c>
      <c r="H10" s="29">
        <f>SUM(H6:H9)</f>
        <v>108012.62667000093</v>
      </c>
    </row>
    <row r="13" spans="1:8" x14ac:dyDescent="0.3">
      <c r="A13" s="23" t="s">
        <v>580</v>
      </c>
    </row>
    <row r="14" spans="1:8" ht="30" customHeight="1" x14ac:dyDescent="0.3">
      <c r="A14" s="5" t="s">
        <v>31</v>
      </c>
      <c r="B14" s="5" t="s">
        <v>572</v>
      </c>
      <c r="C14" s="5" t="s">
        <v>573</v>
      </c>
      <c r="D14" s="5" t="s">
        <v>574</v>
      </c>
      <c r="E14" s="5" t="s">
        <v>575</v>
      </c>
      <c r="F14" s="5" t="s">
        <v>576</v>
      </c>
      <c r="G14" s="5" t="s">
        <v>577</v>
      </c>
      <c r="H14" s="5" t="s">
        <v>578</v>
      </c>
    </row>
    <row r="15" spans="1:8" x14ac:dyDescent="0.3">
      <c r="A15" s="11" t="s">
        <v>50</v>
      </c>
      <c r="B15" s="13">
        <f>COUNTIFS(Checks!$B$2:$B$255,$A15,Checks!$K$2:$K$255,"UNIQUE",Checks!$J$2:$J$255,"OK")+COUNTIFS(Checks!$B$2:$B$255,$A15,Checks!$K$2:$K$255,"UNIQUE",Checks!$J$2:$J$255,"BREACH")</f>
        <v>36</v>
      </c>
      <c r="C15" s="13">
        <f>COUNTIFS(Checks!$B$2:$B$255,$A15,Checks!$K$2:$K$255,"UNIQUE",Checks!$J$2:$J$255,"OK")</f>
        <v>34</v>
      </c>
      <c r="D15" s="13">
        <f>COUNTIFS(Checks!$B$2:$B$255,$A15,Checks!$K$2:$K$255,"UNIQUE",Checks!$J$2:$J$255,"BREACH")</f>
        <v>2</v>
      </c>
      <c r="E15" s="13">
        <f>COUNTIFS(Checks!$B$2:$B$255,$A15,Checks!$K$2:$K$255,"UNIQUE",Checks!$J$2:$J$255,"NO INDEPENDENT PRICE")</f>
        <v>1</v>
      </c>
      <c r="F15" s="24">
        <f t="shared" ref="F15:F23" si="0">IF((C15+D15)=0,0,D15/(C15+D15))</f>
        <v>5.5555555555555552E-2</v>
      </c>
      <c r="G15" s="25">
        <f>SUMIFS(Checks!$I$2:$I$255,Checks!$B$2:$B$255,$A15,Checks!$K$2:$K$255,"UNIQUE",Checks!$J$2:$J$255,"&lt;&gt;UNMAPPED ASSET CLASS")</f>
        <v>6555.952000000203</v>
      </c>
      <c r="H15" s="25">
        <f>SUMIFS(Checks!$I$2:$I$255,Checks!$B$2:$B$255,$A15,Checks!$K$2:$K$255,"UNIQUE",Checks!$J$2:$J$255,"BREACH")</f>
        <v>18004.651999999929</v>
      </c>
    </row>
    <row r="16" spans="1:8" x14ac:dyDescent="0.3">
      <c r="A16" s="11" t="s">
        <v>96</v>
      </c>
      <c r="B16" s="13">
        <f>COUNTIFS(Checks!$B$2:$B$255,$A16,Checks!$K$2:$K$255,"UNIQUE",Checks!$J$2:$J$255,"OK")+COUNTIFS(Checks!$B$2:$B$255,$A16,Checks!$K$2:$K$255,"UNIQUE",Checks!$J$2:$J$255,"BREACH")</f>
        <v>24</v>
      </c>
      <c r="C16" s="13">
        <f>COUNTIFS(Checks!$B$2:$B$255,$A16,Checks!$K$2:$K$255,"UNIQUE",Checks!$J$2:$J$255,"OK")</f>
        <v>23</v>
      </c>
      <c r="D16" s="13">
        <f>COUNTIFS(Checks!$B$2:$B$255,$A16,Checks!$K$2:$K$255,"UNIQUE",Checks!$J$2:$J$255,"BREACH")</f>
        <v>1</v>
      </c>
      <c r="E16" s="13">
        <f>COUNTIFS(Checks!$B$2:$B$255,$A16,Checks!$K$2:$K$255,"UNIQUE",Checks!$J$2:$J$255,"NO INDEPENDENT PRICE")</f>
        <v>2</v>
      </c>
      <c r="F16" s="24">
        <f t="shared" si="0"/>
        <v>4.1666666666666664E-2</v>
      </c>
      <c r="G16" s="25">
        <f>SUMIFS(Checks!$I$2:$I$255,Checks!$B$2:$B$255,$A16,Checks!$K$2:$K$255,"UNIQUE",Checks!$J$2:$J$255,"&lt;&gt;UNMAPPED ASSET CLASS")</f>
        <v>3654.6209999995922</v>
      </c>
      <c r="H16" s="25">
        <f>SUMIFS(Checks!$I$2:$I$255,Checks!$B$2:$B$255,$A16,Checks!$K$2:$K$255,"UNIQUE",Checks!$J$2:$J$255,"BREACH")</f>
        <v>9215.9820000000727</v>
      </c>
    </row>
    <row r="17" spans="1:8" x14ac:dyDescent="0.3">
      <c r="A17" s="11" t="s">
        <v>46</v>
      </c>
      <c r="B17" s="13">
        <f>COUNTIFS(Checks!$B$2:$B$255,$A17,Checks!$K$2:$K$255,"UNIQUE",Checks!$J$2:$J$255,"OK")+COUNTIFS(Checks!$B$2:$B$255,$A17,Checks!$K$2:$K$255,"UNIQUE",Checks!$J$2:$J$255,"BREACH")</f>
        <v>32</v>
      </c>
      <c r="C17" s="13">
        <f>COUNTIFS(Checks!$B$2:$B$255,$A17,Checks!$K$2:$K$255,"UNIQUE",Checks!$J$2:$J$255,"OK")</f>
        <v>30</v>
      </c>
      <c r="D17" s="13">
        <f>COUNTIFS(Checks!$B$2:$B$255,$A17,Checks!$K$2:$K$255,"UNIQUE",Checks!$J$2:$J$255,"BREACH")</f>
        <v>2</v>
      </c>
      <c r="E17" s="13">
        <f>COUNTIFS(Checks!$B$2:$B$255,$A17,Checks!$K$2:$K$255,"UNIQUE",Checks!$J$2:$J$255,"NO INDEPENDENT PRICE")</f>
        <v>1</v>
      </c>
      <c r="F17" s="24">
        <f t="shared" si="0"/>
        <v>6.25E-2</v>
      </c>
      <c r="G17" s="25">
        <f>SUMIFS(Checks!$I$2:$I$255,Checks!$B$2:$B$255,$A17,Checks!$K$2:$K$255,"UNIQUE",Checks!$J$2:$J$255,"&lt;&gt;UNMAPPED ASSET CLASS")</f>
        <v>-42680.280000000334</v>
      </c>
      <c r="H17" s="25">
        <f>SUMIFS(Checks!$I$2:$I$255,Checks!$B$2:$B$255,$A17,Checks!$K$2:$K$255,"UNIQUE",Checks!$J$2:$J$255,"BREACH")</f>
        <v>-21360.207999999831</v>
      </c>
    </row>
    <row r="18" spans="1:8" x14ac:dyDescent="0.3">
      <c r="A18" s="11" t="s">
        <v>77</v>
      </c>
      <c r="B18" s="13">
        <f>COUNTIFS(Checks!$B$2:$B$255,$A18,Checks!$K$2:$K$255,"UNIQUE",Checks!$J$2:$J$255,"OK")+COUNTIFS(Checks!$B$2:$B$255,$A18,Checks!$K$2:$K$255,"UNIQUE",Checks!$J$2:$J$255,"BREACH")</f>
        <v>32</v>
      </c>
      <c r="C18" s="13">
        <f>COUNTIFS(Checks!$B$2:$B$255,$A18,Checks!$K$2:$K$255,"UNIQUE",Checks!$J$2:$J$255,"OK")</f>
        <v>30</v>
      </c>
      <c r="D18" s="13">
        <f>COUNTIFS(Checks!$B$2:$B$255,$A18,Checks!$K$2:$K$255,"UNIQUE",Checks!$J$2:$J$255,"BREACH")</f>
        <v>2</v>
      </c>
      <c r="E18" s="13">
        <f>COUNTIFS(Checks!$B$2:$B$255,$A18,Checks!$K$2:$K$255,"UNIQUE",Checks!$J$2:$J$255,"NO INDEPENDENT PRICE")</f>
        <v>0</v>
      </c>
      <c r="F18" s="24">
        <f t="shared" si="0"/>
        <v>6.25E-2</v>
      </c>
      <c r="G18" s="25">
        <f>SUMIFS(Checks!$I$2:$I$255,Checks!$B$2:$B$255,$A18,Checks!$K$2:$K$255,"UNIQUE",Checks!$J$2:$J$255,"&lt;&gt;UNMAPPED ASSET CLASS")</f>
        <v>2903.4959999992348</v>
      </c>
      <c r="H18" s="25">
        <f>SUMIFS(Checks!$I$2:$I$255,Checks!$B$2:$B$255,$A18,Checks!$K$2:$K$255,"UNIQUE",Checks!$J$2:$J$255,"BREACH")</f>
        <v>-2431.1519999999146</v>
      </c>
    </row>
    <row r="19" spans="1:8" x14ac:dyDescent="0.3">
      <c r="A19" s="11" t="s">
        <v>39</v>
      </c>
      <c r="B19" s="13">
        <f>COUNTIFS(Checks!$B$2:$B$255,$A19,Checks!$K$2:$K$255,"UNIQUE",Checks!$J$2:$J$255,"OK")+COUNTIFS(Checks!$B$2:$B$255,$A19,Checks!$K$2:$K$255,"UNIQUE",Checks!$J$2:$J$255,"BREACH")</f>
        <v>38</v>
      </c>
      <c r="C19" s="13">
        <f>COUNTIFS(Checks!$B$2:$B$255,$A19,Checks!$K$2:$K$255,"UNIQUE",Checks!$J$2:$J$255,"OK")</f>
        <v>32</v>
      </c>
      <c r="D19" s="13">
        <f>COUNTIFS(Checks!$B$2:$B$255,$A19,Checks!$K$2:$K$255,"UNIQUE",Checks!$J$2:$J$255,"BREACH")</f>
        <v>6</v>
      </c>
      <c r="E19" s="13">
        <f>COUNTIFS(Checks!$B$2:$B$255,$A19,Checks!$K$2:$K$255,"UNIQUE",Checks!$J$2:$J$255,"NO INDEPENDENT PRICE")</f>
        <v>0</v>
      </c>
      <c r="F19" s="24">
        <f t="shared" si="0"/>
        <v>0.15789473684210525</v>
      </c>
      <c r="G19" s="25">
        <f>SUMIFS(Checks!$I$2:$I$255,Checks!$B$2:$B$255,$A19,Checks!$K$2:$K$255,"UNIQUE",Checks!$J$2:$J$255,"&lt;&gt;UNMAPPED ASSET CLASS")</f>
        <v>10688.559999998093</v>
      </c>
      <c r="H19" s="25">
        <f>SUMIFS(Checks!$I$2:$I$255,Checks!$B$2:$B$255,$A19,Checks!$K$2:$K$255,"UNIQUE",Checks!$J$2:$J$255,"BREACH")</f>
        <v>71685.110000000655</v>
      </c>
    </row>
    <row r="20" spans="1:8" x14ac:dyDescent="0.3">
      <c r="A20" s="11" t="s">
        <v>43</v>
      </c>
      <c r="B20" s="13">
        <f>COUNTIFS(Checks!$B$2:$B$255,$A20,Checks!$K$2:$K$255,"UNIQUE",Checks!$J$2:$J$255,"OK")+COUNTIFS(Checks!$B$2:$B$255,$A20,Checks!$K$2:$K$255,"UNIQUE",Checks!$J$2:$J$255,"BREACH")</f>
        <v>24</v>
      </c>
      <c r="C20" s="13">
        <f>COUNTIFS(Checks!$B$2:$B$255,$A20,Checks!$K$2:$K$255,"UNIQUE",Checks!$J$2:$J$255,"OK")</f>
        <v>23</v>
      </c>
      <c r="D20" s="13">
        <f>COUNTIFS(Checks!$B$2:$B$255,$A20,Checks!$K$2:$K$255,"UNIQUE",Checks!$J$2:$J$255,"BREACH")</f>
        <v>1</v>
      </c>
      <c r="E20" s="13">
        <f>COUNTIFS(Checks!$B$2:$B$255,$A20,Checks!$K$2:$K$255,"UNIQUE",Checks!$J$2:$J$255,"NO INDEPENDENT PRICE")</f>
        <v>0</v>
      </c>
      <c r="F20" s="24">
        <f t="shared" si="0"/>
        <v>4.1666666666666664E-2</v>
      </c>
      <c r="G20" s="25">
        <f>SUMIFS(Checks!$I$2:$I$255,Checks!$B$2:$B$255,$A20,Checks!$K$2:$K$255,"UNIQUE",Checks!$J$2:$J$255,"&lt;&gt;UNMAPPED ASSET CLASS")</f>
        <v>-28500.287379999631</v>
      </c>
      <c r="H20" s="25">
        <f>SUMIFS(Checks!$I$2:$I$255,Checks!$B$2:$B$255,$A20,Checks!$K$2:$K$255,"UNIQUE",Checks!$J$2:$J$255,"BREACH")</f>
        <v>1232.502920000012</v>
      </c>
    </row>
    <row r="21" spans="1:8" x14ac:dyDescent="0.3">
      <c r="A21" s="11" t="s">
        <v>60</v>
      </c>
      <c r="B21" s="13">
        <f>COUNTIFS(Checks!$B$2:$B$255,$A21,Checks!$K$2:$K$255,"UNIQUE",Checks!$J$2:$J$255,"OK")+COUNTIFS(Checks!$B$2:$B$255,$A21,Checks!$K$2:$K$255,"UNIQUE",Checks!$J$2:$J$255,"BREACH")</f>
        <v>40</v>
      </c>
      <c r="C21" s="13">
        <f>COUNTIFS(Checks!$B$2:$B$255,$A21,Checks!$K$2:$K$255,"UNIQUE",Checks!$J$2:$J$255,"OK")</f>
        <v>35</v>
      </c>
      <c r="D21" s="13">
        <f>COUNTIFS(Checks!$B$2:$B$255,$A21,Checks!$K$2:$K$255,"UNIQUE",Checks!$J$2:$J$255,"BREACH")</f>
        <v>5</v>
      </c>
      <c r="E21" s="13">
        <f>COUNTIFS(Checks!$B$2:$B$255,$A21,Checks!$K$2:$K$255,"UNIQUE",Checks!$J$2:$J$255,"NO INDEPENDENT PRICE")</f>
        <v>2</v>
      </c>
      <c r="F21" s="24">
        <f t="shared" si="0"/>
        <v>0.125</v>
      </c>
      <c r="G21" s="25">
        <f>SUMIFS(Checks!$I$2:$I$255,Checks!$B$2:$B$255,$A21,Checks!$K$2:$K$255,"UNIQUE",Checks!$J$2:$J$255,"&lt;&gt;UNMAPPED ASSET CLASS")</f>
        <v>-264567.19000000128</v>
      </c>
      <c r="H21" s="25">
        <f>SUMIFS(Checks!$I$2:$I$255,Checks!$B$2:$B$255,$A21,Checks!$K$2:$K$255,"UNIQUE",Checks!$J$2:$J$255,"BREACH")</f>
        <v>-2140.9499999999898</v>
      </c>
    </row>
    <row r="22" spans="1:8" x14ac:dyDescent="0.3">
      <c r="A22" s="11" t="s">
        <v>54</v>
      </c>
      <c r="B22" s="13">
        <f>COUNTIFS(Checks!$B$2:$B$255,$A22,Checks!$K$2:$K$255,"UNIQUE",Checks!$J$2:$J$255,"OK")+COUNTIFS(Checks!$B$2:$B$255,$A22,Checks!$K$2:$K$255,"UNIQUE",Checks!$J$2:$J$255,"BREACH")</f>
        <v>16</v>
      </c>
      <c r="C22" s="13">
        <f>COUNTIFS(Checks!$B$2:$B$255,$A22,Checks!$K$2:$K$255,"UNIQUE",Checks!$J$2:$J$255,"OK")</f>
        <v>13</v>
      </c>
      <c r="D22" s="13">
        <f>COUNTIFS(Checks!$B$2:$B$255,$A22,Checks!$K$2:$K$255,"UNIQUE",Checks!$J$2:$J$255,"BREACH")</f>
        <v>3</v>
      </c>
      <c r="E22" s="13">
        <f>COUNTIFS(Checks!$B$2:$B$255,$A22,Checks!$K$2:$K$255,"UNIQUE",Checks!$J$2:$J$255,"NO INDEPENDENT PRICE")</f>
        <v>0</v>
      </c>
      <c r="F22" s="24">
        <f t="shared" si="0"/>
        <v>0.1875</v>
      </c>
      <c r="G22" s="25">
        <f>SUMIFS(Checks!$I$2:$I$255,Checks!$B$2:$B$255,$A22,Checks!$K$2:$K$255,"UNIQUE",Checks!$J$2:$J$255,"&lt;&gt;UNMAPPED ASSET CLASS")</f>
        <v>78262.765109998261</v>
      </c>
      <c r="H22" s="25">
        <f>SUMIFS(Checks!$I$2:$I$255,Checks!$B$2:$B$255,$A22,Checks!$K$2:$K$255,"UNIQUE",Checks!$J$2:$J$255,"BREACH")</f>
        <v>33806.689749999969</v>
      </c>
    </row>
    <row r="23" spans="1:8" x14ac:dyDescent="0.3">
      <c r="A23" s="26" t="s">
        <v>579</v>
      </c>
      <c r="B23" s="27">
        <f>SUM(B15:B22)</f>
        <v>242</v>
      </c>
      <c r="C23" s="27">
        <f>SUM(C15:C22)</f>
        <v>220</v>
      </c>
      <c r="D23" s="27">
        <f>SUM(D15:D22)</f>
        <v>22</v>
      </c>
      <c r="E23" s="27">
        <f>SUM(E15:E22)</f>
        <v>6</v>
      </c>
      <c r="F23" s="28">
        <f t="shared" si="0"/>
        <v>9.0909090909090912E-2</v>
      </c>
      <c r="G23" s="29">
        <f>SUM(G15:G22)</f>
        <v>-233682.36327000588</v>
      </c>
      <c r="H23" s="29">
        <f>SUM(H15:H22)</f>
        <v>108012.6266700009</v>
      </c>
    </row>
    <row r="26" spans="1:8" x14ac:dyDescent="0.3">
      <c r="A26" s="23" t="s">
        <v>581</v>
      </c>
    </row>
    <row r="27" spans="1:8" x14ac:dyDescent="0.3">
      <c r="A27" s="5" t="s">
        <v>582</v>
      </c>
      <c r="B27" s="5" t="s">
        <v>583</v>
      </c>
    </row>
    <row r="28" spans="1:8" x14ac:dyDescent="0.3">
      <c r="A28" s="11" t="s">
        <v>584</v>
      </c>
      <c r="B28" s="13">
        <f>COUNTA(Raw_Data!A2:A255)</f>
        <v>254</v>
      </c>
    </row>
    <row r="29" spans="1:8" x14ac:dyDescent="0.3">
      <c r="A29" s="11" t="s">
        <v>585</v>
      </c>
      <c r="B29" s="13">
        <f>COUNTIF(Checks!$K$2:$K$255,"DUP")</f>
        <v>4</v>
      </c>
    </row>
    <row r="30" spans="1:8" x14ac:dyDescent="0.3">
      <c r="A30" s="11" t="s">
        <v>586</v>
      </c>
      <c r="B30" s="13">
        <f>COUNTIF(Checks!$K$2:$K$255,"UNIQUE")</f>
        <v>250</v>
      </c>
    </row>
    <row r="31" spans="1:8" x14ac:dyDescent="0.3">
      <c r="A31" s="11" t="s">
        <v>587</v>
      </c>
      <c r="B31" s="13">
        <f>COUNTIFS(Checks!$J$2:$J$255,"NO INDEPENDENT PRICE",Checks!$K$2:$K$255,"UNIQUE")</f>
        <v>6</v>
      </c>
    </row>
    <row r="32" spans="1:8" x14ac:dyDescent="0.3">
      <c r="A32" s="11" t="s">
        <v>588</v>
      </c>
      <c r="B32" s="13">
        <f>COUNTIFS(Checks!$J$2:$J$255,"UNMAPPED ASSET CLASS",Checks!$K$2:$K$255,"UNIQUE")</f>
        <v>2</v>
      </c>
    </row>
    <row r="33" spans="1:2" x14ac:dyDescent="0.3">
      <c r="A33" s="11" t="s">
        <v>589</v>
      </c>
      <c r="B33" s="13">
        <f>COUNTIFS(Checks!$L$2:$L$255,"STALE",Checks!$K$2:$K$255,"UNIQUE")</f>
        <v>5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CB556-BB9D-4754-ADE8-ADE07AED3192}">
  <sheetPr codeName="Sheet6"/>
  <dimension ref="A1:N25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9.5546875" bestFit="1" customWidth="1"/>
    <col min="2" max="2" width="13.109375" bestFit="1" customWidth="1"/>
    <col min="3" max="4" width="15.88671875" bestFit="1" customWidth="1"/>
    <col min="5" max="5" width="10.33203125" bestFit="1" customWidth="1"/>
    <col min="6" max="6" width="8.5546875" bestFit="1" customWidth="1"/>
    <col min="8" max="8" width="9.5546875" bestFit="1" customWidth="1"/>
    <col min="9" max="9" width="16.109375" bestFit="1" customWidth="1"/>
    <col min="10" max="10" width="11" bestFit="1" customWidth="1"/>
    <col min="11" max="11" width="11.88671875" bestFit="1" customWidth="1"/>
    <col min="12" max="12" width="10.109375" bestFit="1" customWidth="1"/>
    <col min="13" max="13" width="21.6640625" bestFit="1" customWidth="1"/>
    <col min="14" max="14" width="9" bestFit="1" customWidth="1"/>
  </cols>
  <sheetData>
    <row r="1" spans="1:14" x14ac:dyDescent="0.3">
      <c r="A1" s="31" t="s">
        <v>29</v>
      </c>
      <c r="B1" s="31" t="s">
        <v>30</v>
      </c>
      <c r="C1" s="31" t="s">
        <v>31</v>
      </c>
      <c r="D1" s="31" t="s">
        <v>32</v>
      </c>
      <c r="E1" s="31" t="s">
        <v>33</v>
      </c>
      <c r="F1" s="31" t="s">
        <v>34</v>
      </c>
      <c r="G1" s="31" t="s">
        <v>35</v>
      </c>
      <c r="H1" s="31" t="s">
        <v>36</v>
      </c>
      <c r="I1" s="31" t="s">
        <v>37</v>
      </c>
      <c r="J1" s="31" t="s">
        <v>590</v>
      </c>
      <c r="K1" s="31" t="s">
        <v>591</v>
      </c>
      <c r="L1" s="31" t="s">
        <v>592</v>
      </c>
      <c r="M1" s="31" t="s">
        <v>567</v>
      </c>
      <c r="N1" s="31" t="s">
        <v>593</v>
      </c>
    </row>
    <row r="2" spans="1:14" x14ac:dyDescent="0.3">
      <c r="A2" t="s">
        <v>38</v>
      </c>
      <c r="B2" s="32">
        <v>46293</v>
      </c>
      <c r="C2" t="s">
        <v>39</v>
      </c>
      <c r="D2" t="s">
        <v>24</v>
      </c>
      <c r="E2" t="s">
        <v>40</v>
      </c>
      <c r="F2" t="s">
        <v>41</v>
      </c>
      <c r="G2" s="33">
        <v>36166</v>
      </c>
      <c r="H2" s="34">
        <v>149.54</v>
      </c>
      <c r="I2" s="34">
        <v>149.33000000000001</v>
      </c>
      <c r="J2" s="35">
        <v>1.4062813902094658E-3</v>
      </c>
      <c r="K2" s="35">
        <v>0.01</v>
      </c>
      <c r="L2" s="36">
        <v>7594.8599999992603</v>
      </c>
      <c r="M2" t="s">
        <v>573</v>
      </c>
      <c r="N2" t="s">
        <v>594</v>
      </c>
    </row>
    <row r="3" spans="1:14" x14ac:dyDescent="0.3">
      <c r="A3" t="s">
        <v>42</v>
      </c>
      <c r="B3" s="32">
        <v>46293</v>
      </c>
      <c r="C3" t="s">
        <v>43</v>
      </c>
      <c r="D3" t="s">
        <v>27</v>
      </c>
      <c r="E3" t="s">
        <v>44</v>
      </c>
      <c r="F3" t="s">
        <v>41</v>
      </c>
      <c r="G3" s="33">
        <v>4061266</v>
      </c>
      <c r="H3" s="34">
        <v>1.43472</v>
      </c>
      <c r="I3" s="34">
        <v>1.43723</v>
      </c>
      <c r="J3" s="35">
        <v>-1.7464149788134205E-3</v>
      </c>
      <c r="K3" s="35">
        <v>3.0000000000000001E-3</v>
      </c>
      <c r="L3" s="36">
        <v>-10193.777660000049</v>
      </c>
      <c r="M3" t="s">
        <v>573</v>
      </c>
      <c r="N3" t="s">
        <v>594</v>
      </c>
    </row>
    <row r="4" spans="1:14" x14ac:dyDescent="0.3">
      <c r="A4" t="s">
        <v>45</v>
      </c>
      <c r="B4" s="32">
        <v>46293</v>
      </c>
      <c r="C4" t="s">
        <v>46</v>
      </c>
      <c r="D4" t="s">
        <v>25</v>
      </c>
      <c r="E4" t="s">
        <v>47</v>
      </c>
      <c r="F4" t="s">
        <v>48</v>
      </c>
      <c r="G4" s="33">
        <v>15502</v>
      </c>
      <c r="H4" s="34">
        <v>107.20099999999999</v>
      </c>
      <c r="I4" s="34">
        <v>107.128</v>
      </c>
      <c r="J4" s="35">
        <v>6.8142782465828997E-4</v>
      </c>
      <c r="K4" s="35">
        <v>5.0000000000000001E-3</v>
      </c>
      <c r="L4" s="36">
        <v>1131.645999999896</v>
      </c>
      <c r="M4" t="s">
        <v>573</v>
      </c>
      <c r="N4" t="s">
        <v>594</v>
      </c>
    </row>
    <row r="5" spans="1:14" x14ac:dyDescent="0.3">
      <c r="A5" t="s">
        <v>49</v>
      </c>
      <c r="B5" s="32">
        <v>46293</v>
      </c>
      <c r="C5" t="s">
        <v>50</v>
      </c>
      <c r="D5" t="s">
        <v>25</v>
      </c>
      <c r="E5" t="s">
        <v>51</v>
      </c>
      <c r="F5" t="s">
        <v>52</v>
      </c>
      <c r="G5" s="33">
        <v>1316</v>
      </c>
      <c r="H5" s="34">
        <v>103.86</v>
      </c>
      <c r="I5" s="34">
        <v>104.121</v>
      </c>
      <c r="J5" s="35">
        <v>-2.5066989368138577E-3</v>
      </c>
      <c r="K5" s="35">
        <v>5.0000000000000001E-3</v>
      </c>
      <c r="L5" s="36">
        <v>-343.47599999999431</v>
      </c>
      <c r="M5" t="s">
        <v>573</v>
      </c>
      <c r="N5" t="s">
        <v>594</v>
      </c>
    </row>
    <row r="6" spans="1:14" x14ac:dyDescent="0.3">
      <c r="A6" t="s">
        <v>53</v>
      </c>
      <c r="B6" s="32">
        <v>46293</v>
      </c>
      <c r="C6" t="s">
        <v>54</v>
      </c>
      <c r="D6" t="s">
        <v>27</v>
      </c>
      <c r="E6" t="s">
        <v>55</v>
      </c>
      <c r="F6" t="s">
        <v>56</v>
      </c>
      <c r="G6" s="33">
        <v>4847348</v>
      </c>
      <c r="H6" s="34">
        <v>1.13117</v>
      </c>
      <c r="I6" s="34">
        <v>1.1295900000000001</v>
      </c>
      <c r="J6" s="35">
        <v>1.3987375950565378E-3</v>
      </c>
      <c r="K6" s="35">
        <v>3.0000000000000001E-3</v>
      </c>
      <c r="L6" s="36">
        <v>7658.809839999587</v>
      </c>
      <c r="M6" t="s">
        <v>573</v>
      </c>
      <c r="N6" t="s">
        <v>594</v>
      </c>
    </row>
    <row r="7" spans="1:14" x14ac:dyDescent="0.3">
      <c r="A7" t="s">
        <v>57</v>
      </c>
      <c r="B7" s="32">
        <v>46293</v>
      </c>
      <c r="C7" t="s">
        <v>43</v>
      </c>
      <c r="D7" t="s">
        <v>27</v>
      </c>
      <c r="E7" t="s">
        <v>58</v>
      </c>
      <c r="F7" t="s">
        <v>41</v>
      </c>
      <c r="G7" s="33">
        <v>1694942</v>
      </c>
      <c r="H7" s="34">
        <v>0.81899999999999995</v>
      </c>
      <c r="I7" s="34">
        <v>0.82021999999999995</v>
      </c>
      <c r="J7" s="35">
        <v>-1.4874058179512801E-3</v>
      </c>
      <c r="K7" s="35">
        <v>3.0000000000000001E-3</v>
      </c>
      <c r="L7" s="36">
        <v>-2067.8292399999982</v>
      </c>
      <c r="M7" t="s">
        <v>573</v>
      </c>
      <c r="N7" t="s">
        <v>594</v>
      </c>
    </row>
    <row r="8" spans="1:14" x14ac:dyDescent="0.3">
      <c r="A8" t="s">
        <v>59</v>
      </c>
      <c r="B8" s="32">
        <v>46293</v>
      </c>
      <c r="C8" t="s">
        <v>60</v>
      </c>
      <c r="D8" t="s">
        <v>24</v>
      </c>
      <c r="E8" t="s">
        <v>61</v>
      </c>
      <c r="F8" t="s">
        <v>56</v>
      </c>
      <c r="G8" s="33">
        <v>47824</v>
      </c>
      <c r="H8" s="34">
        <v>36.97</v>
      </c>
      <c r="I8" s="34">
        <v>37.020000000000003</v>
      </c>
      <c r="J8" s="35">
        <v>-1.3506212857915792E-3</v>
      </c>
      <c r="K8" s="35">
        <v>0.01</v>
      </c>
      <c r="L8" s="36">
        <v>-2391.200000000204</v>
      </c>
      <c r="M8" t="s">
        <v>573</v>
      </c>
      <c r="N8" t="s">
        <v>594</v>
      </c>
    </row>
    <row r="9" spans="1:14" x14ac:dyDescent="0.3">
      <c r="A9" t="s">
        <v>62</v>
      </c>
      <c r="B9" s="32">
        <v>46293</v>
      </c>
      <c r="C9" t="s">
        <v>46</v>
      </c>
      <c r="D9" t="s">
        <v>25</v>
      </c>
      <c r="E9" t="s">
        <v>63</v>
      </c>
      <c r="F9" t="s">
        <v>48</v>
      </c>
      <c r="G9" s="33">
        <v>1904</v>
      </c>
      <c r="H9" s="34">
        <v>102.872</v>
      </c>
      <c r="I9" s="34">
        <v>102.744</v>
      </c>
      <c r="J9" s="35">
        <v>1.2458148407692917E-3</v>
      </c>
      <c r="K9" s="35">
        <v>5.0000000000000001E-3</v>
      </c>
      <c r="L9" s="36">
        <v>243.71200000000022</v>
      </c>
      <c r="M9" t="s">
        <v>573</v>
      </c>
      <c r="N9" t="s">
        <v>594</v>
      </c>
    </row>
    <row r="10" spans="1:14" x14ac:dyDescent="0.3">
      <c r="A10" t="s">
        <v>64</v>
      </c>
      <c r="B10" s="32">
        <v>46293</v>
      </c>
      <c r="C10" t="s">
        <v>50</v>
      </c>
      <c r="D10" t="s">
        <v>25</v>
      </c>
      <c r="E10" t="s">
        <v>65</v>
      </c>
      <c r="F10" t="s">
        <v>52</v>
      </c>
      <c r="G10" s="33">
        <v>4748</v>
      </c>
      <c r="H10" s="34">
        <v>101.941</v>
      </c>
      <c r="I10" s="34">
        <v>101.92</v>
      </c>
      <c r="J10" s="35">
        <v>2.0604395604396385E-4</v>
      </c>
      <c r="K10" s="35">
        <v>5.0000000000000001E-3</v>
      </c>
      <c r="L10" s="36">
        <v>99.708000000003778</v>
      </c>
      <c r="M10" t="s">
        <v>573</v>
      </c>
      <c r="N10" t="s">
        <v>594</v>
      </c>
    </row>
    <row r="11" spans="1:14" x14ac:dyDescent="0.3">
      <c r="A11" t="s">
        <v>66</v>
      </c>
      <c r="B11" s="32">
        <v>46293</v>
      </c>
      <c r="C11" t="s">
        <v>60</v>
      </c>
      <c r="D11" t="s">
        <v>24</v>
      </c>
      <c r="E11" t="s">
        <v>67</v>
      </c>
      <c r="F11" t="s">
        <v>56</v>
      </c>
      <c r="G11" s="33">
        <v>23319</v>
      </c>
      <c r="H11" s="34">
        <v>204.52</v>
      </c>
      <c r="I11" s="34">
        <v>204.34</v>
      </c>
      <c r="J11" s="35">
        <v>8.8088479984343158E-4</v>
      </c>
      <c r="K11" s="35">
        <v>0.01</v>
      </c>
      <c r="L11" s="36">
        <v>4197.4200000001592</v>
      </c>
      <c r="M11" t="s">
        <v>573</v>
      </c>
      <c r="N11" t="s">
        <v>594</v>
      </c>
    </row>
    <row r="12" spans="1:14" x14ac:dyDescent="0.3">
      <c r="A12" t="s">
        <v>68</v>
      </c>
      <c r="B12" s="32">
        <v>46293</v>
      </c>
      <c r="C12" t="s">
        <v>43</v>
      </c>
      <c r="D12" t="s">
        <v>27</v>
      </c>
      <c r="E12" t="s">
        <v>69</v>
      </c>
      <c r="F12" t="s">
        <v>41</v>
      </c>
      <c r="G12" s="33">
        <v>1309263</v>
      </c>
      <c r="H12" s="34">
        <v>0.61534999999999995</v>
      </c>
      <c r="I12" s="34">
        <v>0.61606000000000005</v>
      </c>
      <c r="J12" s="35">
        <v>-1.1524851475507246E-3</v>
      </c>
      <c r="K12" s="35">
        <v>3.0000000000000001E-3</v>
      </c>
      <c r="L12" s="36">
        <v>-929.57673000013017</v>
      </c>
      <c r="M12" t="s">
        <v>573</v>
      </c>
      <c r="N12" t="s">
        <v>594</v>
      </c>
    </row>
    <row r="13" spans="1:14" x14ac:dyDescent="0.3">
      <c r="A13" t="s">
        <v>70</v>
      </c>
      <c r="B13" s="32">
        <v>46293</v>
      </c>
      <c r="C13" t="s">
        <v>46</v>
      </c>
      <c r="D13" t="s">
        <v>25</v>
      </c>
      <c r="E13" t="s">
        <v>71</v>
      </c>
      <c r="F13" t="s">
        <v>48</v>
      </c>
      <c r="G13" s="33">
        <v>15488</v>
      </c>
      <c r="H13" s="34">
        <v>99.44</v>
      </c>
      <c r="I13" s="34">
        <v>99.438999999999993</v>
      </c>
      <c r="J13" s="35">
        <v>1.0056416496593639E-5</v>
      </c>
      <c r="K13" s="35">
        <v>5.0000000000000001E-3</v>
      </c>
      <c r="L13" s="36">
        <v>15.488000000073953</v>
      </c>
      <c r="M13" t="s">
        <v>573</v>
      </c>
      <c r="N13" t="s">
        <v>594</v>
      </c>
    </row>
    <row r="14" spans="1:14" x14ac:dyDescent="0.3">
      <c r="A14" t="s">
        <v>72</v>
      </c>
      <c r="B14" s="32">
        <v>46293</v>
      </c>
      <c r="C14" t="s">
        <v>50</v>
      </c>
      <c r="D14" t="s">
        <v>25</v>
      </c>
      <c r="E14" t="s">
        <v>73</v>
      </c>
      <c r="F14" t="s">
        <v>52</v>
      </c>
      <c r="G14" s="33">
        <v>11885</v>
      </c>
      <c r="H14" s="34">
        <v>94.87</v>
      </c>
      <c r="I14" s="34">
        <v>94.935000000000002</v>
      </c>
      <c r="J14" s="35">
        <v>-6.8467899088847867E-4</v>
      </c>
      <c r="K14" s="35">
        <v>5.0000000000000001E-3</v>
      </c>
      <c r="L14" s="36">
        <v>-772.52499999997303</v>
      </c>
      <c r="M14" t="s">
        <v>573</v>
      </c>
      <c r="N14" t="s">
        <v>594</v>
      </c>
    </row>
    <row r="15" spans="1:14" x14ac:dyDescent="0.3">
      <c r="A15" t="s">
        <v>74</v>
      </c>
      <c r="B15" s="32">
        <v>46293</v>
      </c>
      <c r="C15" t="s">
        <v>39</v>
      </c>
      <c r="D15" t="s">
        <v>24</v>
      </c>
      <c r="E15" t="s">
        <v>75</v>
      </c>
      <c r="F15" t="s">
        <v>41</v>
      </c>
      <c r="G15" s="33">
        <v>9250</v>
      </c>
      <c r="H15" s="34">
        <v>60</v>
      </c>
      <c r="I15" s="34">
        <v>61.38</v>
      </c>
      <c r="J15" s="35">
        <v>-2.2482893450635425E-2</v>
      </c>
      <c r="K15" s="35">
        <v>0.01</v>
      </c>
      <c r="L15" s="36">
        <v>-12765.000000000024</v>
      </c>
      <c r="M15" t="s">
        <v>595</v>
      </c>
      <c r="N15" t="s">
        <v>594</v>
      </c>
    </row>
    <row r="16" spans="1:14" x14ac:dyDescent="0.3">
      <c r="A16" t="s">
        <v>76</v>
      </c>
      <c r="B16" s="32">
        <v>46293</v>
      </c>
      <c r="C16" t="s">
        <v>77</v>
      </c>
      <c r="D16" t="s">
        <v>26</v>
      </c>
      <c r="E16" t="s">
        <v>78</v>
      </c>
      <c r="F16" t="s">
        <v>48</v>
      </c>
      <c r="G16" s="33">
        <v>14122</v>
      </c>
      <c r="H16" s="34">
        <v>98.305999999999997</v>
      </c>
      <c r="I16" s="34">
        <v>98.27</v>
      </c>
      <c r="J16" s="35">
        <v>3.6633764119264645E-4</v>
      </c>
      <c r="K16" s="35">
        <v>2.5000000000000001E-3</v>
      </c>
      <c r="L16" s="36">
        <v>508.39200000001927</v>
      </c>
      <c r="M16" t="s">
        <v>573</v>
      </c>
      <c r="N16" t="s">
        <v>594</v>
      </c>
    </row>
    <row r="17" spans="1:14" x14ac:dyDescent="0.3">
      <c r="A17" t="s">
        <v>79</v>
      </c>
      <c r="B17" s="32">
        <v>46293</v>
      </c>
      <c r="C17" t="s">
        <v>50</v>
      </c>
      <c r="D17" t="s">
        <v>25</v>
      </c>
      <c r="E17" t="s">
        <v>80</v>
      </c>
      <c r="F17" t="s">
        <v>52</v>
      </c>
      <c r="G17" s="33">
        <v>14510</v>
      </c>
      <c r="H17" s="34">
        <v>105.834</v>
      </c>
      <c r="I17" s="34">
        <v>105.35899999999999</v>
      </c>
      <c r="J17" s="35">
        <v>4.508395106255835E-3</v>
      </c>
      <c r="K17" s="35">
        <v>5.0000000000000001E-3</v>
      </c>
      <c r="L17" s="36">
        <v>6892.2500000001237</v>
      </c>
      <c r="M17" t="s">
        <v>573</v>
      </c>
      <c r="N17" t="s">
        <v>594</v>
      </c>
    </row>
    <row r="18" spans="1:14" x14ac:dyDescent="0.3">
      <c r="A18" t="s">
        <v>81</v>
      </c>
      <c r="B18" s="32">
        <v>46293</v>
      </c>
      <c r="C18" t="s">
        <v>50</v>
      </c>
      <c r="D18" t="s">
        <v>25</v>
      </c>
      <c r="E18" t="s">
        <v>82</v>
      </c>
      <c r="F18" t="s">
        <v>52</v>
      </c>
      <c r="G18" s="33">
        <v>3750</v>
      </c>
      <c r="H18" s="34">
        <v>106.511</v>
      </c>
      <c r="I18" s="34">
        <v>106.84099999999999</v>
      </c>
      <c r="J18" s="35">
        <v>-3.0887019028275503E-3</v>
      </c>
      <c r="K18" s="35">
        <v>5.0000000000000001E-3</v>
      </c>
      <c r="L18" s="36">
        <v>-1237.4999999999936</v>
      </c>
      <c r="M18" t="s">
        <v>573</v>
      </c>
      <c r="N18" t="s">
        <v>594</v>
      </c>
    </row>
    <row r="19" spans="1:14" x14ac:dyDescent="0.3">
      <c r="A19" t="s">
        <v>83</v>
      </c>
      <c r="B19" s="32">
        <v>46293</v>
      </c>
      <c r="C19" t="s">
        <v>60</v>
      </c>
      <c r="D19" t="s">
        <v>24</v>
      </c>
      <c r="E19" t="s">
        <v>84</v>
      </c>
      <c r="F19" t="s">
        <v>56</v>
      </c>
      <c r="G19" s="33">
        <v>4590</v>
      </c>
      <c r="H19" s="34">
        <v>258.38</v>
      </c>
      <c r="I19" s="34">
        <v>258.99</v>
      </c>
      <c r="J19" s="35">
        <v>-2.3553032935635107E-3</v>
      </c>
      <c r="K19" s="35">
        <v>0.01</v>
      </c>
      <c r="L19" s="36">
        <v>-2799.9000000000624</v>
      </c>
      <c r="M19" t="s">
        <v>573</v>
      </c>
      <c r="N19" t="s">
        <v>594</v>
      </c>
    </row>
    <row r="20" spans="1:14" x14ac:dyDescent="0.3">
      <c r="A20" t="s">
        <v>85</v>
      </c>
      <c r="B20" s="32">
        <v>46293</v>
      </c>
      <c r="C20" t="s">
        <v>77</v>
      </c>
      <c r="D20" t="s">
        <v>26</v>
      </c>
      <c r="E20" t="s">
        <v>86</v>
      </c>
      <c r="F20" t="s">
        <v>48</v>
      </c>
      <c r="G20" s="33">
        <v>13092</v>
      </c>
      <c r="H20" s="34">
        <v>101.312</v>
      </c>
      <c r="I20" s="34">
        <v>101.27200000000001</v>
      </c>
      <c r="J20" s="35">
        <v>3.9497590646962673E-4</v>
      </c>
      <c r="K20" s="35">
        <v>2.5000000000000001E-3</v>
      </c>
      <c r="L20" s="36">
        <v>523.67999999989581</v>
      </c>
      <c r="M20" t="s">
        <v>573</v>
      </c>
      <c r="N20" t="s">
        <v>594</v>
      </c>
    </row>
    <row r="21" spans="1:14" x14ac:dyDescent="0.3">
      <c r="A21" t="s">
        <v>87</v>
      </c>
      <c r="B21" s="32">
        <v>46293</v>
      </c>
      <c r="C21" t="s">
        <v>39</v>
      </c>
      <c r="D21" t="s">
        <v>24</v>
      </c>
      <c r="E21" t="s">
        <v>88</v>
      </c>
      <c r="F21" t="s">
        <v>41</v>
      </c>
      <c r="G21" s="33">
        <v>35246</v>
      </c>
      <c r="H21" s="34">
        <v>244.17</v>
      </c>
      <c r="I21" s="34">
        <v>243.56</v>
      </c>
      <c r="J21" s="35">
        <v>2.5045163409426227E-3</v>
      </c>
      <c r="K21" s="35">
        <v>0.01</v>
      </c>
      <c r="L21" s="36">
        <v>21500.059999999477</v>
      </c>
      <c r="M21" t="s">
        <v>573</v>
      </c>
      <c r="N21" t="s">
        <v>594</v>
      </c>
    </row>
    <row r="22" spans="1:14" x14ac:dyDescent="0.3">
      <c r="A22" t="s">
        <v>89</v>
      </c>
      <c r="B22" s="32">
        <v>46293</v>
      </c>
      <c r="C22" t="s">
        <v>46</v>
      </c>
      <c r="D22" t="s">
        <v>25</v>
      </c>
      <c r="E22" t="s">
        <v>90</v>
      </c>
      <c r="F22" t="s">
        <v>48</v>
      </c>
      <c r="G22" s="33">
        <v>6064</v>
      </c>
      <c r="H22" s="34">
        <v>107.581</v>
      </c>
      <c r="I22" s="34">
        <v>107.456</v>
      </c>
      <c r="J22" s="35">
        <v>1.1632668254913639E-3</v>
      </c>
      <c r="K22" s="35">
        <v>5.0000000000000001E-3</v>
      </c>
      <c r="L22" s="36">
        <v>758</v>
      </c>
      <c r="M22" t="s">
        <v>573</v>
      </c>
      <c r="N22" t="s">
        <v>594</v>
      </c>
    </row>
    <row r="23" spans="1:14" x14ac:dyDescent="0.3">
      <c r="A23" t="s">
        <v>91</v>
      </c>
      <c r="B23" s="32">
        <v>46293</v>
      </c>
      <c r="C23" t="s">
        <v>46</v>
      </c>
      <c r="D23" t="s">
        <v>25</v>
      </c>
      <c r="E23" t="s">
        <v>92</v>
      </c>
      <c r="F23" t="s">
        <v>48</v>
      </c>
      <c r="G23" s="33">
        <v>13423</v>
      </c>
      <c r="H23" s="34">
        <v>104.18</v>
      </c>
      <c r="I23" s="34">
        <v>104.056</v>
      </c>
      <c r="J23" s="35">
        <v>1.1916660259860983E-3</v>
      </c>
      <c r="K23" s="35">
        <v>5.0000000000000001E-3</v>
      </c>
      <c r="L23" s="36">
        <v>1664.4520000001266</v>
      </c>
      <c r="M23" t="s">
        <v>573</v>
      </c>
      <c r="N23" t="s">
        <v>594</v>
      </c>
    </row>
    <row r="24" spans="1:14" x14ac:dyDescent="0.3">
      <c r="A24" t="s">
        <v>93</v>
      </c>
      <c r="B24" s="32">
        <v>46293</v>
      </c>
      <c r="C24" t="s">
        <v>50</v>
      </c>
      <c r="D24" t="s">
        <v>25</v>
      </c>
      <c r="E24" t="s">
        <v>94</v>
      </c>
      <c r="F24" t="s">
        <v>52</v>
      </c>
      <c r="G24" s="33">
        <v>9943</v>
      </c>
      <c r="H24" s="34">
        <v>99.811999999999998</v>
      </c>
      <c r="I24" s="34">
        <v>100.306</v>
      </c>
      <c r="J24" s="35">
        <v>-4.9249297150718782E-3</v>
      </c>
      <c r="K24" s="35">
        <v>5.0000000000000001E-3</v>
      </c>
      <c r="L24" s="36">
        <v>-4911.8419999999978</v>
      </c>
      <c r="M24" t="s">
        <v>573</v>
      </c>
      <c r="N24" t="s">
        <v>594</v>
      </c>
    </row>
    <row r="25" spans="1:14" x14ac:dyDescent="0.3">
      <c r="A25" t="s">
        <v>95</v>
      </c>
      <c r="B25" s="32">
        <v>46293</v>
      </c>
      <c r="C25" t="s">
        <v>96</v>
      </c>
      <c r="D25" t="s">
        <v>26</v>
      </c>
      <c r="E25" t="s">
        <v>97</v>
      </c>
      <c r="F25" t="s">
        <v>52</v>
      </c>
      <c r="G25" s="33">
        <v>8841</v>
      </c>
      <c r="H25" s="34">
        <v>96.230999999999995</v>
      </c>
      <c r="I25" s="34">
        <v>96.275999999999996</v>
      </c>
      <c r="J25" s="35">
        <v>-4.6740620715444872E-4</v>
      </c>
      <c r="K25" s="35">
        <v>2.5000000000000001E-3</v>
      </c>
      <c r="L25" s="36">
        <v>-397.84500000001509</v>
      </c>
      <c r="M25" t="s">
        <v>573</v>
      </c>
      <c r="N25" t="s">
        <v>594</v>
      </c>
    </row>
    <row r="26" spans="1:14" x14ac:dyDescent="0.3">
      <c r="A26" t="s">
        <v>98</v>
      </c>
      <c r="B26" s="32">
        <v>46293</v>
      </c>
      <c r="C26" t="s">
        <v>46</v>
      </c>
      <c r="D26" t="s">
        <v>25</v>
      </c>
      <c r="E26" t="s">
        <v>99</v>
      </c>
      <c r="F26" t="s">
        <v>48</v>
      </c>
      <c r="G26" s="33">
        <v>19864</v>
      </c>
      <c r="H26" s="34">
        <v>106.477</v>
      </c>
      <c r="I26" s="34">
        <v>106.833</v>
      </c>
      <c r="J26" s="35">
        <v>-3.3323036889350158E-3</v>
      </c>
      <c r="K26" s="35">
        <v>5.0000000000000001E-3</v>
      </c>
      <c r="L26" s="36">
        <v>-7071.5839999998916</v>
      </c>
      <c r="M26" t="s">
        <v>573</v>
      </c>
      <c r="N26" t="s">
        <v>594</v>
      </c>
    </row>
    <row r="27" spans="1:14" x14ac:dyDescent="0.3">
      <c r="A27" t="s">
        <v>100</v>
      </c>
      <c r="B27" s="32">
        <v>46293</v>
      </c>
      <c r="C27" t="s">
        <v>77</v>
      </c>
      <c r="D27" t="s">
        <v>26</v>
      </c>
      <c r="E27" t="s">
        <v>101</v>
      </c>
      <c r="F27" t="s">
        <v>48</v>
      </c>
      <c r="G27" s="33">
        <v>16976</v>
      </c>
      <c r="H27" s="34">
        <v>98.691000000000003</v>
      </c>
      <c r="I27" s="34">
        <v>98.778999999999996</v>
      </c>
      <c r="J27" s="35">
        <v>-8.9087761568748276E-4</v>
      </c>
      <c r="K27" s="35">
        <v>2.5000000000000001E-3</v>
      </c>
      <c r="L27" s="36">
        <v>-1493.8879999998958</v>
      </c>
      <c r="M27" t="s">
        <v>573</v>
      </c>
      <c r="N27" t="s">
        <v>594</v>
      </c>
    </row>
    <row r="28" spans="1:14" x14ac:dyDescent="0.3">
      <c r="A28" t="s">
        <v>102</v>
      </c>
      <c r="B28" s="32">
        <v>46293</v>
      </c>
      <c r="C28" t="s">
        <v>50</v>
      </c>
      <c r="D28" t="s">
        <v>25</v>
      </c>
      <c r="E28" t="s">
        <v>103</v>
      </c>
      <c r="F28" t="s">
        <v>52</v>
      </c>
      <c r="G28" s="33">
        <v>6007</v>
      </c>
      <c r="H28" s="34">
        <v>95.7</v>
      </c>
      <c r="I28" s="34"/>
      <c r="J28" s="35"/>
      <c r="K28" s="35">
        <v>5.0000000000000001E-3</v>
      </c>
      <c r="L28" s="36"/>
      <c r="M28" t="s">
        <v>596</v>
      </c>
      <c r="N28" t="s">
        <v>594</v>
      </c>
    </row>
    <row r="29" spans="1:14" x14ac:dyDescent="0.3">
      <c r="A29" t="s">
        <v>104</v>
      </c>
      <c r="B29" s="32">
        <v>46293</v>
      </c>
      <c r="C29" t="s">
        <v>77</v>
      </c>
      <c r="D29" t="s">
        <v>105</v>
      </c>
      <c r="E29" t="s">
        <v>106</v>
      </c>
      <c r="F29" t="s">
        <v>48</v>
      </c>
      <c r="G29" s="33">
        <v>15051</v>
      </c>
      <c r="H29" s="34">
        <v>103.268</v>
      </c>
      <c r="I29" s="34">
        <v>103.30800000000001</v>
      </c>
      <c r="J29" s="35">
        <v>-3.8719169861004232E-4</v>
      </c>
      <c r="K29" s="35"/>
      <c r="L29" s="36">
        <v>-602.0400000000941</v>
      </c>
      <c r="M29" t="s">
        <v>597</v>
      </c>
      <c r="N29" t="s">
        <v>594</v>
      </c>
    </row>
    <row r="30" spans="1:14" x14ac:dyDescent="0.3">
      <c r="A30" t="s">
        <v>107</v>
      </c>
      <c r="B30" s="32">
        <v>46293</v>
      </c>
      <c r="C30" t="s">
        <v>46</v>
      </c>
      <c r="D30" t="s">
        <v>25</v>
      </c>
      <c r="E30" t="s">
        <v>108</v>
      </c>
      <c r="F30" t="s">
        <v>48</v>
      </c>
      <c r="G30" s="33">
        <v>19863</v>
      </c>
      <c r="H30" s="34">
        <v>106.178</v>
      </c>
      <c r="I30" s="34">
        <v>106.471</v>
      </c>
      <c r="J30" s="35">
        <v>-2.751923058861158E-3</v>
      </c>
      <c r="K30" s="35">
        <v>5.0000000000000001E-3</v>
      </c>
      <c r="L30" s="36">
        <v>-5819.8590000001268</v>
      </c>
      <c r="M30" t="s">
        <v>573</v>
      </c>
      <c r="N30" t="s">
        <v>594</v>
      </c>
    </row>
    <row r="31" spans="1:14" x14ac:dyDescent="0.3">
      <c r="A31" t="s">
        <v>109</v>
      </c>
      <c r="B31" s="32">
        <v>46293</v>
      </c>
      <c r="C31" t="s">
        <v>39</v>
      </c>
      <c r="D31" t="s">
        <v>24</v>
      </c>
      <c r="E31" t="s">
        <v>111</v>
      </c>
      <c r="F31" t="s">
        <v>41</v>
      </c>
      <c r="G31" s="33">
        <v>15035</v>
      </c>
      <c r="H31" s="34">
        <v>181.66</v>
      </c>
      <c r="I31" s="34">
        <v>181.74</v>
      </c>
      <c r="J31" s="35">
        <v>-4.4018928139106692E-4</v>
      </c>
      <c r="K31" s="35">
        <v>0.01</v>
      </c>
      <c r="L31" s="36">
        <v>-1202.800000000188</v>
      </c>
      <c r="M31" t="s">
        <v>573</v>
      </c>
      <c r="N31" t="s">
        <v>594</v>
      </c>
    </row>
    <row r="32" spans="1:14" x14ac:dyDescent="0.3">
      <c r="A32" t="s">
        <v>112</v>
      </c>
      <c r="B32" s="32">
        <v>46293</v>
      </c>
      <c r="C32" t="s">
        <v>96</v>
      </c>
      <c r="D32" t="s">
        <v>26</v>
      </c>
      <c r="E32" t="s">
        <v>113</v>
      </c>
      <c r="F32" t="s">
        <v>52</v>
      </c>
      <c r="G32" s="33">
        <v>19672</v>
      </c>
      <c r="H32" s="34">
        <v>102.004</v>
      </c>
      <c r="I32" s="34">
        <v>102.042</v>
      </c>
      <c r="J32" s="35">
        <v>-3.7239568021007726E-4</v>
      </c>
      <c r="K32" s="35">
        <v>2.5000000000000001E-3</v>
      </c>
      <c r="L32" s="36">
        <v>-747.53599999993514</v>
      </c>
      <c r="M32" t="s">
        <v>573</v>
      </c>
      <c r="N32" t="s">
        <v>594</v>
      </c>
    </row>
    <row r="33" spans="1:14" x14ac:dyDescent="0.3">
      <c r="A33" t="s">
        <v>114</v>
      </c>
      <c r="B33" s="32">
        <v>46293</v>
      </c>
      <c r="C33" t="s">
        <v>50</v>
      </c>
      <c r="D33" t="s">
        <v>25</v>
      </c>
      <c r="E33" t="s">
        <v>115</v>
      </c>
      <c r="F33" t="s">
        <v>52</v>
      </c>
      <c r="G33" s="33">
        <v>9583</v>
      </c>
      <c r="H33" s="34">
        <v>102.194</v>
      </c>
      <c r="I33" s="34">
        <v>102.261</v>
      </c>
      <c r="J33" s="35">
        <v>-6.551862391331306E-4</v>
      </c>
      <c r="K33" s="35">
        <v>5.0000000000000001E-3</v>
      </c>
      <c r="L33" s="36">
        <v>-642.06099999993353</v>
      </c>
      <c r="M33" t="s">
        <v>573</v>
      </c>
      <c r="N33" t="s">
        <v>594</v>
      </c>
    </row>
    <row r="34" spans="1:14" x14ac:dyDescent="0.3">
      <c r="A34" t="s">
        <v>116</v>
      </c>
      <c r="B34" s="32">
        <v>46293</v>
      </c>
      <c r="C34" t="s">
        <v>39</v>
      </c>
      <c r="D34" t="s">
        <v>24</v>
      </c>
      <c r="E34" t="s">
        <v>117</v>
      </c>
      <c r="F34" t="s">
        <v>41</v>
      </c>
      <c r="G34" s="33">
        <v>46207</v>
      </c>
      <c r="H34" s="34">
        <v>253.45</v>
      </c>
      <c r="I34" s="34">
        <v>254.29</v>
      </c>
      <c r="J34" s="35">
        <v>-3.303315112666654E-3</v>
      </c>
      <c r="K34" s="35">
        <v>0.01</v>
      </c>
      <c r="L34" s="36">
        <v>-38813.880000000157</v>
      </c>
      <c r="M34" t="s">
        <v>573</v>
      </c>
      <c r="N34" t="s">
        <v>594</v>
      </c>
    </row>
    <row r="35" spans="1:14" x14ac:dyDescent="0.3">
      <c r="A35" t="s">
        <v>118</v>
      </c>
      <c r="B35" s="32">
        <v>46293</v>
      </c>
      <c r="C35" t="s">
        <v>77</v>
      </c>
      <c r="D35" t="s">
        <v>26</v>
      </c>
      <c r="E35" t="s">
        <v>119</v>
      </c>
      <c r="F35" t="s">
        <v>48</v>
      </c>
      <c r="G35" s="33">
        <v>17085</v>
      </c>
      <c r="H35" s="34">
        <v>101.57899999999999</v>
      </c>
      <c r="I35" s="34">
        <v>101.43600000000001</v>
      </c>
      <c r="J35" s="35">
        <v>1.4097559052011757E-3</v>
      </c>
      <c r="K35" s="35">
        <v>2.5000000000000001E-3</v>
      </c>
      <c r="L35" s="36">
        <v>2443.1549999997687</v>
      </c>
      <c r="M35" t="s">
        <v>573</v>
      </c>
      <c r="N35" t="s">
        <v>594</v>
      </c>
    </row>
    <row r="36" spans="1:14" x14ac:dyDescent="0.3">
      <c r="A36" t="s">
        <v>120</v>
      </c>
      <c r="B36" s="32">
        <v>46293</v>
      </c>
      <c r="C36" t="s">
        <v>39</v>
      </c>
      <c r="D36" t="s">
        <v>24</v>
      </c>
      <c r="E36" t="s">
        <v>121</v>
      </c>
      <c r="F36" t="s">
        <v>41</v>
      </c>
      <c r="G36" s="33">
        <v>612</v>
      </c>
      <c r="H36" s="34">
        <v>191.27</v>
      </c>
      <c r="I36" s="34">
        <v>189.89</v>
      </c>
      <c r="J36" s="35">
        <v>7.2673653167624622E-3</v>
      </c>
      <c r="K36" s="35">
        <v>0.01</v>
      </c>
      <c r="L36" s="36">
        <v>844.56000000001461</v>
      </c>
      <c r="M36" t="s">
        <v>573</v>
      </c>
      <c r="N36" t="s">
        <v>594</v>
      </c>
    </row>
    <row r="37" spans="1:14" x14ac:dyDescent="0.3">
      <c r="A37" t="s">
        <v>122</v>
      </c>
      <c r="B37" s="32">
        <v>46293</v>
      </c>
      <c r="C37" t="s">
        <v>46</v>
      </c>
      <c r="D37" t="s">
        <v>25</v>
      </c>
      <c r="E37" t="s">
        <v>123</v>
      </c>
      <c r="F37" t="s">
        <v>48</v>
      </c>
      <c r="G37" s="33">
        <v>11688</v>
      </c>
      <c r="H37" s="34">
        <v>102.67</v>
      </c>
      <c r="I37" s="34">
        <v>102.283</v>
      </c>
      <c r="J37" s="35">
        <v>3.7836199563954951E-3</v>
      </c>
      <c r="K37" s="35">
        <v>5.0000000000000001E-3</v>
      </c>
      <c r="L37" s="36">
        <v>4523.2560000000049</v>
      </c>
      <c r="M37" t="s">
        <v>573</v>
      </c>
      <c r="N37" t="s">
        <v>594</v>
      </c>
    </row>
    <row r="38" spans="1:14" x14ac:dyDescent="0.3">
      <c r="A38" t="s">
        <v>124</v>
      </c>
      <c r="B38" s="32">
        <v>46293</v>
      </c>
      <c r="C38" t="s">
        <v>54</v>
      </c>
      <c r="D38" t="s">
        <v>27</v>
      </c>
      <c r="E38" t="s">
        <v>125</v>
      </c>
      <c r="F38" t="s">
        <v>56</v>
      </c>
      <c r="G38" s="33">
        <v>430700</v>
      </c>
      <c r="H38" s="34">
        <v>1.5034000000000001</v>
      </c>
      <c r="I38" s="34">
        <v>1.5066600000000001</v>
      </c>
      <c r="J38" s="35">
        <v>-2.1637263881698859E-3</v>
      </c>
      <c r="K38" s="35">
        <v>3.0000000000000001E-3</v>
      </c>
      <c r="L38" s="36">
        <v>-1404.0820000000176</v>
      </c>
      <c r="M38" t="s">
        <v>573</v>
      </c>
      <c r="N38" t="s">
        <v>594</v>
      </c>
    </row>
    <row r="39" spans="1:14" x14ac:dyDescent="0.3">
      <c r="A39" t="s">
        <v>126</v>
      </c>
      <c r="B39" s="32">
        <v>46293</v>
      </c>
      <c r="C39" t="s">
        <v>39</v>
      </c>
      <c r="D39" t="s">
        <v>24</v>
      </c>
      <c r="E39" t="s">
        <v>127</v>
      </c>
      <c r="F39" t="s">
        <v>41</v>
      </c>
      <c r="G39" s="33">
        <v>33381</v>
      </c>
      <c r="H39" s="34">
        <v>160.80000000000001</v>
      </c>
      <c r="I39" s="34">
        <v>160.52000000000001</v>
      </c>
      <c r="J39" s="35">
        <v>1.744330924495397E-3</v>
      </c>
      <c r="K39" s="35">
        <v>0.01</v>
      </c>
      <c r="L39" s="36">
        <v>9346.6800000000385</v>
      </c>
      <c r="M39" t="s">
        <v>573</v>
      </c>
      <c r="N39" t="s">
        <v>594</v>
      </c>
    </row>
    <row r="40" spans="1:14" x14ac:dyDescent="0.3">
      <c r="A40" t="s">
        <v>128</v>
      </c>
      <c r="B40" s="32">
        <v>46293</v>
      </c>
      <c r="C40" t="s">
        <v>46</v>
      </c>
      <c r="D40" t="s">
        <v>25</v>
      </c>
      <c r="E40" t="s">
        <v>129</v>
      </c>
      <c r="F40" t="s">
        <v>48</v>
      </c>
      <c r="G40" s="33">
        <v>15086</v>
      </c>
      <c r="H40" s="34">
        <v>100.767</v>
      </c>
      <c r="I40" s="34">
        <v>100.56</v>
      </c>
      <c r="J40" s="35">
        <v>2.0584725536992206E-3</v>
      </c>
      <c r="K40" s="35">
        <v>5.0000000000000001E-3</v>
      </c>
      <c r="L40" s="36">
        <v>3122.8019999999042</v>
      </c>
      <c r="M40" t="s">
        <v>573</v>
      </c>
      <c r="N40" t="s">
        <v>594</v>
      </c>
    </row>
    <row r="41" spans="1:14" x14ac:dyDescent="0.3">
      <c r="A41" t="s">
        <v>130</v>
      </c>
      <c r="B41" s="32">
        <v>46290</v>
      </c>
      <c r="C41" t="s">
        <v>50</v>
      </c>
      <c r="D41" t="s">
        <v>25</v>
      </c>
      <c r="E41" t="s">
        <v>131</v>
      </c>
      <c r="F41" t="s">
        <v>52</v>
      </c>
      <c r="G41" s="33">
        <v>6560</v>
      </c>
      <c r="H41" s="34">
        <v>100.179</v>
      </c>
      <c r="I41" s="34">
        <v>100.00700000000001</v>
      </c>
      <c r="J41" s="35">
        <v>1.7198796084273804E-3</v>
      </c>
      <c r="K41" s="35">
        <v>5.0000000000000001E-3</v>
      </c>
      <c r="L41" s="36">
        <v>1128.3199999999806</v>
      </c>
      <c r="M41" t="s">
        <v>573</v>
      </c>
      <c r="N41" t="s">
        <v>598</v>
      </c>
    </row>
    <row r="42" spans="1:14" x14ac:dyDescent="0.3">
      <c r="A42" t="s">
        <v>132</v>
      </c>
      <c r="B42" s="32">
        <v>46293</v>
      </c>
      <c r="C42" t="s">
        <v>50</v>
      </c>
      <c r="D42" t="s">
        <v>25</v>
      </c>
      <c r="E42" t="s">
        <v>133</v>
      </c>
      <c r="F42" t="s">
        <v>52</v>
      </c>
      <c r="G42" s="33">
        <v>7456</v>
      </c>
      <c r="H42" s="34">
        <v>100.319</v>
      </c>
      <c r="I42" s="34">
        <v>100.18600000000001</v>
      </c>
      <c r="J42" s="35">
        <v>1.3275307927254861E-3</v>
      </c>
      <c r="K42" s="35">
        <v>5.0000000000000001E-3</v>
      </c>
      <c r="L42" s="36">
        <v>991.64799999996694</v>
      </c>
      <c r="M42" t="s">
        <v>573</v>
      </c>
      <c r="N42" t="s">
        <v>594</v>
      </c>
    </row>
    <row r="43" spans="1:14" x14ac:dyDescent="0.3">
      <c r="A43" t="s">
        <v>134</v>
      </c>
      <c r="B43" s="32">
        <v>46293</v>
      </c>
      <c r="C43" t="s">
        <v>43</v>
      </c>
      <c r="D43" t="s">
        <v>27</v>
      </c>
      <c r="E43" t="s">
        <v>135</v>
      </c>
      <c r="F43" t="s">
        <v>41</v>
      </c>
      <c r="G43" s="33">
        <v>4964749</v>
      </c>
      <c r="H43" s="34">
        <v>1.32605</v>
      </c>
      <c r="I43" s="34">
        <v>1.32758</v>
      </c>
      <c r="J43" s="35">
        <v>-1.1524729206526397E-3</v>
      </c>
      <c r="K43" s="35">
        <v>3.0000000000000001E-3</v>
      </c>
      <c r="L43" s="36">
        <v>-7596.0659700001552</v>
      </c>
      <c r="M43" t="s">
        <v>573</v>
      </c>
      <c r="N43" t="s">
        <v>594</v>
      </c>
    </row>
    <row r="44" spans="1:14" x14ac:dyDescent="0.3">
      <c r="A44" t="s">
        <v>136</v>
      </c>
      <c r="B44" s="32">
        <v>46293</v>
      </c>
      <c r="C44" t="s">
        <v>77</v>
      </c>
      <c r="D44" t="s">
        <v>26</v>
      </c>
      <c r="E44" t="s">
        <v>137</v>
      </c>
      <c r="F44" t="s">
        <v>48</v>
      </c>
      <c r="G44" s="33">
        <v>16654</v>
      </c>
      <c r="H44" s="34">
        <v>103.529</v>
      </c>
      <c r="I44" s="34">
        <v>103.505</v>
      </c>
      <c r="J44" s="35">
        <v>2.3187285638375839E-4</v>
      </c>
      <c r="K44" s="35">
        <v>2.5000000000000001E-3</v>
      </c>
      <c r="L44" s="36">
        <v>399.69600000001515</v>
      </c>
      <c r="M44" t="s">
        <v>573</v>
      </c>
      <c r="N44" t="s">
        <v>594</v>
      </c>
    </row>
    <row r="45" spans="1:14" x14ac:dyDescent="0.3">
      <c r="A45" t="s">
        <v>138</v>
      </c>
      <c r="B45" s="32">
        <v>46293</v>
      </c>
      <c r="C45" t="s">
        <v>77</v>
      </c>
      <c r="D45" t="s">
        <v>26</v>
      </c>
      <c r="E45" t="s">
        <v>139</v>
      </c>
      <c r="F45" t="s">
        <v>48</v>
      </c>
      <c r="G45" s="33">
        <v>18502</v>
      </c>
      <c r="H45" s="34">
        <v>97.82</v>
      </c>
      <c r="I45" s="34">
        <v>97.813000000000002</v>
      </c>
      <c r="J45" s="35">
        <v>7.1565129379436184E-5</v>
      </c>
      <c r="K45" s="35">
        <v>2.5000000000000001E-3</v>
      </c>
      <c r="L45" s="36">
        <v>129.51399999982962</v>
      </c>
      <c r="M45" t="s">
        <v>573</v>
      </c>
      <c r="N45" t="s">
        <v>594</v>
      </c>
    </row>
    <row r="46" spans="1:14" x14ac:dyDescent="0.3">
      <c r="A46" t="s">
        <v>140</v>
      </c>
      <c r="B46" s="32">
        <v>46293</v>
      </c>
      <c r="C46" t="s">
        <v>50</v>
      </c>
      <c r="D46" t="s">
        <v>25</v>
      </c>
      <c r="E46" t="s">
        <v>141</v>
      </c>
      <c r="F46" t="s">
        <v>52</v>
      </c>
      <c r="G46" s="33">
        <v>14767</v>
      </c>
      <c r="H46" s="34">
        <v>95.308999999999997</v>
      </c>
      <c r="I46" s="34">
        <v>95.146000000000001</v>
      </c>
      <c r="J46" s="35">
        <v>1.7131566224538783E-3</v>
      </c>
      <c r="K46" s="35">
        <v>5.0000000000000001E-3</v>
      </c>
      <c r="L46" s="36">
        <v>2407.0209999999515</v>
      </c>
      <c r="M46" t="s">
        <v>573</v>
      </c>
      <c r="N46" t="s">
        <v>594</v>
      </c>
    </row>
    <row r="47" spans="1:14" x14ac:dyDescent="0.3">
      <c r="A47" t="s">
        <v>142</v>
      </c>
      <c r="B47" s="32">
        <v>46293</v>
      </c>
      <c r="C47" t="s">
        <v>46</v>
      </c>
      <c r="D47" t="s">
        <v>25</v>
      </c>
      <c r="E47" t="s">
        <v>143</v>
      </c>
      <c r="F47" t="s">
        <v>48</v>
      </c>
      <c r="G47" s="33">
        <v>11819</v>
      </c>
      <c r="H47" s="34">
        <v>98.900999999999996</v>
      </c>
      <c r="I47" s="34">
        <v>99.256</v>
      </c>
      <c r="J47" s="35">
        <v>-3.5766099782381317E-3</v>
      </c>
      <c r="K47" s="35">
        <v>5.0000000000000001E-3</v>
      </c>
      <c r="L47" s="36">
        <v>-4195.7450000000472</v>
      </c>
      <c r="M47" t="s">
        <v>573</v>
      </c>
      <c r="N47" t="s">
        <v>594</v>
      </c>
    </row>
    <row r="48" spans="1:14" x14ac:dyDescent="0.3">
      <c r="A48" t="s">
        <v>144</v>
      </c>
      <c r="B48" s="32">
        <v>46293</v>
      </c>
      <c r="C48" t="s">
        <v>60</v>
      </c>
      <c r="D48" t="s">
        <v>24</v>
      </c>
      <c r="E48" t="s">
        <v>145</v>
      </c>
      <c r="F48" t="s">
        <v>56</v>
      </c>
      <c r="G48" s="33">
        <v>31248</v>
      </c>
      <c r="H48" s="34">
        <v>55.95</v>
      </c>
      <c r="I48" s="34">
        <v>55.94</v>
      </c>
      <c r="J48" s="35">
        <v>1.7876296031471426E-4</v>
      </c>
      <c r="K48" s="35">
        <v>0.01</v>
      </c>
      <c r="L48" s="36">
        <v>312.48000000015986</v>
      </c>
      <c r="M48" t="s">
        <v>573</v>
      </c>
      <c r="N48" t="s">
        <v>594</v>
      </c>
    </row>
    <row r="49" spans="1:14" x14ac:dyDescent="0.3">
      <c r="A49" t="s">
        <v>146</v>
      </c>
      <c r="B49" s="32">
        <v>46293</v>
      </c>
      <c r="C49" t="s">
        <v>39</v>
      </c>
      <c r="D49" t="s">
        <v>24</v>
      </c>
      <c r="E49" t="s">
        <v>147</v>
      </c>
      <c r="F49" t="s">
        <v>41</v>
      </c>
      <c r="G49" s="33">
        <v>14825</v>
      </c>
      <c r="H49" s="34">
        <v>142.66999999999999</v>
      </c>
      <c r="I49" s="34">
        <v>143.03</v>
      </c>
      <c r="J49" s="35">
        <v>-2.5169544850731571E-3</v>
      </c>
      <c r="K49" s="35">
        <v>0.01</v>
      </c>
      <c r="L49" s="36">
        <v>-5337.0000000002019</v>
      </c>
      <c r="M49" t="s">
        <v>573</v>
      </c>
      <c r="N49" t="s">
        <v>594</v>
      </c>
    </row>
    <row r="50" spans="1:14" x14ac:dyDescent="0.3">
      <c r="A50" t="s">
        <v>148</v>
      </c>
      <c r="B50" s="32">
        <v>46293</v>
      </c>
      <c r="C50" t="s">
        <v>96</v>
      </c>
      <c r="D50" t="s">
        <v>26</v>
      </c>
      <c r="E50" t="s">
        <v>149</v>
      </c>
      <c r="F50" t="s">
        <v>52</v>
      </c>
      <c r="G50" s="33">
        <v>17579</v>
      </c>
      <c r="H50" s="34">
        <v>98.778000000000006</v>
      </c>
      <c r="I50" s="34">
        <v>98.864000000000004</v>
      </c>
      <c r="J50" s="35">
        <v>-8.6988185790579499E-4</v>
      </c>
      <c r="K50" s="35">
        <v>2.5000000000000001E-3</v>
      </c>
      <c r="L50" s="36">
        <v>-1511.7939999999739</v>
      </c>
      <c r="M50" t="s">
        <v>573</v>
      </c>
      <c r="N50" t="s">
        <v>594</v>
      </c>
    </row>
    <row r="51" spans="1:14" x14ac:dyDescent="0.3">
      <c r="A51" t="s">
        <v>150</v>
      </c>
      <c r="B51" s="32">
        <v>46293</v>
      </c>
      <c r="C51" t="s">
        <v>60</v>
      </c>
      <c r="D51" t="s">
        <v>24</v>
      </c>
      <c r="E51" t="s">
        <v>151</v>
      </c>
      <c r="F51" t="s">
        <v>56</v>
      </c>
      <c r="G51" s="33">
        <v>3765</v>
      </c>
      <c r="H51" s="34">
        <v>211.69</v>
      </c>
      <c r="I51" s="34">
        <v>209.32</v>
      </c>
      <c r="J51" s="35">
        <v>1.1322377221479097E-2</v>
      </c>
      <c r="K51" s="35">
        <v>0.01</v>
      </c>
      <c r="L51" s="36">
        <v>8923.0500000000175</v>
      </c>
      <c r="M51" t="s">
        <v>595</v>
      </c>
      <c r="N51" t="s">
        <v>594</v>
      </c>
    </row>
    <row r="52" spans="1:14" x14ac:dyDescent="0.3">
      <c r="A52" t="s">
        <v>152</v>
      </c>
      <c r="B52" s="32">
        <v>46293</v>
      </c>
      <c r="C52" t="s">
        <v>50</v>
      </c>
      <c r="D52" t="s">
        <v>25</v>
      </c>
      <c r="E52" t="s">
        <v>153</v>
      </c>
      <c r="F52" t="s">
        <v>52</v>
      </c>
      <c r="G52" s="33">
        <v>11929</v>
      </c>
      <c r="H52" s="34">
        <v>102.149</v>
      </c>
      <c r="I52" s="34">
        <v>102.11199999999999</v>
      </c>
      <c r="J52" s="35">
        <v>3.6234722657480162E-4</v>
      </c>
      <c r="K52" s="35">
        <v>5.0000000000000001E-3</v>
      </c>
      <c r="L52" s="36">
        <v>441.37300000007326</v>
      </c>
      <c r="M52" t="s">
        <v>573</v>
      </c>
      <c r="N52" t="s">
        <v>594</v>
      </c>
    </row>
    <row r="53" spans="1:14" x14ac:dyDescent="0.3">
      <c r="A53" t="s">
        <v>154</v>
      </c>
      <c r="B53" s="32">
        <v>46293</v>
      </c>
      <c r="C53" t="s">
        <v>96</v>
      </c>
      <c r="D53" t="s">
        <v>26</v>
      </c>
      <c r="E53" t="s">
        <v>155</v>
      </c>
      <c r="F53" t="s">
        <v>52</v>
      </c>
      <c r="G53" s="33">
        <v>19810</v>
      </c>
      <c r="H53" s="34">
        <v>102.982</v>
      </c>
      <c r="I53" s="34">
        <v>102.834</v>
      </c>
      <c r="J53" s="35">
        <v>1.4392127117489949E-3</v>
      </c>
      <c r="K53" s="35">
        <v>2.5000000000000001E-3</v>
      </c>
      <c r="L53" s="36">
        <v>2931.8799999999233</v>
      </c>
      <c r="M53" t="s">
        <v>573</v>
      </c>
      <c r="N53" t="s">
        <v>594</v>
      </c>
    </row>
    <row r="54" spans="1:14" x14ac:dyDescent="0.3">
      <c r="A54" t="s">
        <v>156</v>
      </c>
      <c r="B54" s="32">
        <v>46293</v>
      </c>
      <c r="C54" t="s">
        <v>96</v>
      </c>
      <c r="D54" t="s">
        <v>26</v>
      </c>
      <c r="E54" t="s">
        <v>157</v>
      </c>
      <c r="F54" t="s">
        <v>52</v>
      </c>
      <c r="G54" s="33">
        <v>7066</v>
      </c>
      <c r="H54" s="34">
        <v>101.943</v>
      </c>
      <c r="I54" s="34">
        <v>101.782</v>
      </c>
      <c r="J54" s="35">
        <v>1.5818121082313314E-3</v>
      </c>
      <c r="K54" s="35">
        <v>2.5000000000000001E-3</v>
      </c>
      <c r="L54" s="36">
        <v>1137.6260000000098</v>
      </c>
      <c r="M54" t="s">
        <v>573</v>
      </c>
      <c r="N54" t="s">
        <v>594</v>
      </c>
    </row>
    <row r="55" spans="1:14" x14ac:dyDescent="0.3">
      <c r="A55" t="s">
        <v>158</v>
      </c>
      <c r="B55" s="32">
        <v>46293</v>
      </c>
      <c r="C55" t="s">
        <v>60</v>
      </c>
      <c r="D55" t="s">
        <v>24</v>
      </c>
      <c r="E55" t="s">
        <v>159</v>
      </c>
      <c r="F55" t="s">
        <v>56</v>
      </c>
      <c r="G55" s="33">
        <v>30064</v>
      </c>
      <c r="H55" s="34">
        <v>94.37</v>
      </c>
      <c r="I55" s="34">
        <v>93.91</v>
      </c>
      <c r="J55" s="35">
        <v>4.8983068895752102E-3</v>
      </c>
      <c r="K55" s="35">
        <v>0.01</v>
      </c>
      <c r="L55" s="36">
        <v>13829.440000000239</v>
      </c>
      <c r="M55" t="s">
        <v>573</v>
      </c>
      <c r="N55" t="s">
        <v>594</v>
      </c>
    </row>
    <row r="56" spans="1:14" x14ac:dyDescent="0.3">
      <c r="A56" t="s">
        <v>160</v>
      </c>
      <c r="B56" s="32">
        <v>46290</v>
      </c>
      <c r="C56" t="s">
        <v>39</v>
      </c>
      <c r="D56" t="s">
        <v>24</v>
      </c>
      <c r="E56" t="s">
        <v>161</v>
      </c>
      <c r="F56" t="s">
        <v>41</v>
      </c>
      <c r="G56" s="33">
        <v>42229</v>
      </c>
      <c r="H56" s="34">
        <v>79.540000000000006</v>
      </c>
      <c r="I56" s="34">
        <v>80.38</v>
      </c>
      <c r="J56" s="35">
        <v>-1.0450360786265106E-2</v>
      </c>
      <c r="K56" s="35">
        <v>0.01</v>
      </c>
      <c r="L56" s="36">
        <v>-35472.359999999542</v>
      </c>
      <c r="M56" t="s">
        <v>595</v>
      </c>
      <c r="N56" t="s">
        <v>598</v>
      </c>
    </row>
    <row r="57" spans="1:14" x14ac:dyDescent="0.3">
      <c r="A57" t="s">
        <v>162</v>
      </c>
      <c r="B57" s="32">
        <v>46293</v>
      </c>
      <c r="C57" t="s">
        <v>46</v>
      </c>
      <c r="D57" t="s">
        <v>25</v>
      </c>
      <c r="E57" t="s">
        <v>163</v>
      </c>
      <c r="F57" t="s">
        <v>48</v>
      </c>
      <c r="G57" s="33">
        <v>12526</v>
      </c>
      <c r="H57" s="34">
        <v>99.632000000000005</v>
      </c>
      <c r="I57" s="34">
        <v>99.825999999999993</v>
      </c>
      <c r="J57" s="35">
        <v>-1.9433814837816644E-3</v>
      </c>
      <c r="K57" s="35">
        <v>5.0000000000000001E-3</v>
      </c>
      <c r="L57" s="36">
        <v>-2430.0439999998548</v>
      </c>
      <c r="M57" t="s">
        <v>573</v>
      </c>
      <c r="N57" t="s">
        <v>594</v>
      </c>
    </row>
    <row r="58" spans="1:14" x14ac:dyDescent="0.3">
      <c r="A58" t="s">
        <v>164</v>
      </c>
      <c r="B58" s="32">
        <v>46293</v>
      </c>
      <c r="C58" t="s">
        <v>39</v>
      </c>
      <c r="D58" t="s">
        <v>24</v>
      </c>
      <c r="E58" t="s">
        <v>165</v>
      </c>
      <c r="F58" t="s">
        <v>41</v>
      </c>
      <c r="G58" s="33">
        <v>525</v>
      </c>
      <c r="H58" s="34">
        <v>81.72</v>
      </c>
      <c r="I58" s="34">
        <v>82.35</v>
      </c>
      <c r="J58" s="35">
        <v>-7.6502732240436612E-3</v>
      </c>
      <c r="K58" s="35">
        <v>0.01</v>
      </c>
      <c r="L58" s="36">
        <v>-330.74999999999761</v>
      </c>
      <c r="M58" t="s">
        <v>573</v>
      </c>
      <c r="N58" t="s">
        <v>594</v>
      </c>
    </row>
    <row r="59" spans="1:14" x14ac:dyDescent="0.3">
      <c r="A59" t="s">
        <v>166</v>
      </c>
      <c r="B59" s="32">
        <v>46290</v>
      </c>
      <c r="C59" t="s">
        <v>50</v>
      </c>
      <c r="D59" t="s">
        <v>25</v>
      </c>
      <c r="E59" t="s">
        <v>167</v>
      </c>
      <c r="F59" t="s">
        <v>52</v>
      </c>
      <c r="G59" s="33">
        <v>4542</v>
      </c>
      <c r="H59" s="34">
        <v>107.43600000000001</v>
      </c>
      <c r="I59" s="34">
        <v>107.715</v>
      </c>
      <c r="J59" s="35">
        <v>-2.5901685002088508E-3</v>
      </c>
      <c r="K59" s="35">
        <v>5.0000000000000001E-3</v>
      </c>
      <c r="L59" s="36">
        <v>-1267.2179999999835</v>
      </c>
      <c r="M59" t="s">
        <v>573</v>
      </c>
      <c r="N59" t="s">
        <v>598</v>
      </c>
    </row>
    <row r="60" spans="1:14" x14ac:dyDescent="0.3">
      <c r="A60" t="s">
        <v>168</v>
      </c>
      <c r="B60" s="32">
        <v>46293</v>
      </c>
      <c r="C60" t="s">
        <v>46</v>
      </c>
      <c r="D60" t="s">
        <v>25</v>
      </c>
      <c r="E60" t="s">
        <v>169</v>
      </c>
      <c r="F60" t="s">
        <v>48</v>
      </c>
      <c r="G60" s="33">
        <v>3683</v>
      </c>
      <c r="H60" s="34">
        <v>104.032</v>
      </c>
      <c r="I60" s="34">
        <v>103.934</v>
      </c>
      <c r="J60" s="35">
        <v>9.4290607500913061E-4</v>
      </c>
      <c r="K60" s="35">
        <v>5.0000000000000001E-3</v>
      </c>
      <c r="L60" s="36">
        <v>360.93399999999622</v>
      </c>
      <c r="M60" t="s">
        <v>573</v>
      </c>
      <c r="N60" t="s">
        <v>594</v>
      </c>
    </row>
    <row r="61" spans="1:14" x14ac:dyDescent="0.3">
      <c r="A61" t="s">
        <v>170</v>
      </c>
      <c r="B61" s="32">
        <v>46293</v>
      </c>
      <c r="C61" t="s">
        <v>46</v>
      </c>
      <c r="D61" t="s">
        <v>25</v>
      </c>
      <c r="E61" t="s">
        <v>171</v>
      </c>
      <c r="F61" t="s">
        <v>48</v>
      </c>
      <c r="G61" s="33">
        <v>9998</v>
      </c>
      <c r="H61" s="34">
        <v>104.253</v>
      </c>
      <c r="I61" s="34">
        <v>104.617</v>
      </c>
      <c r="J61" s="35">
        <v>-3.479358039324434E-3</v>
      </c>
      <c r="K61" s="35">
        <v>5.0000000000000001E-3</v>
      </c>
      <c r="L61" s="36">
        <v>-3639.2720000000431</v>
      </c>
      <c r="M61" t="s">
        <v>573</v>
      </c>
      <c r="N61" t="s">
        <v>594</v>
      </c>
    </row>
    <row r="62" spans="1:14" x14ac:dyDescent="0.3">
      <c r="A62" t="s">
        <v>172</v>
      </c>
      <c r="B62" s="32">
        <v>46293</v>
      </c>
      <c r="C62" t="s">
        <v>50</v>
      </c>
      <c r="D62" t="s">
        <v>25</v>
      </c>
      <c r="E62" t="s">
        <v>173</v>
      </c>
      <c r="F62" t="s">
        <v>52</v>
      </c>
      <c r="G62" s="33">
        <v>2307</v>
      </c>
      <c r="H62" s="34">
        <v>96.932000000000002</v>
      </c>
      <c r="I62" s="34">
        <v>97</v>
      </c>
      <c r="J62" s="35">
        <v>-7.0103092783502924E-4</v>
      </c>
      <c r="K62" s="35">
        <v>5.0000000000000001E-3</v>
      </c>
      <c r="L62" s="36">
        <v>-156.87599999999503</v>
      </c>
      <c r="M62" t="s">
        <v>573</v>
      </c>
      <c r="N62" t="s">
        <v>594</v>
      </c>
    </row>
    <row r="63" spans="1:14" x14ac:dyDescent="0.3">
      <c r="A63" t="s">
        <v>174</v>
      </c>
      <c r="B63" s="32">
        <v>46293</v>
      </c>
      <c r="C63" t="s">
        <v>60</v>
      </c>
      <c r="D63" t="s">
        <v>24</v>
      </c>
      <c r="E63" t="s">
        <v>175</v>
      </c>
      <c r="F63" t="s">
        <v>56</v>
      </c>
      <c r="G63" s="33">
        <v>2158</v>
      </c>
      <c r="H63" s="34">
        <v>38.869999999999997</v>
      </c>
      <c r="I63" s="34">
        <v>38.86</v>
      </c>
      <c r="J63" s="35">
        <v>2.5733401955733428E-4</v>
      </c>
      <c r="K63" s="35">
        <v>0.01</v>
      </c>
      <c r="L63" s="36">
        <v>21.579999999995707</v>
      </c>
      <c r="M63" t="s">
        <v>573</v>
      </c>
      <c r="N63" t="s">
        <v>594</v>
      </c>
    </row>
    <row r="64" spans="1:14" x14ac:dyDescent="0.3">
      <c r="A64" t="s">
        <v>176</v>
      </c>
      <c r="B64" s="32">
        <v>46293</v>
      </c>
      <c r="C64" t="s">
        <v>96</v>
      </c>
      <c r="D64" t="s">
        <v>26</v>
      </c>
      <c r="E64" t="s">
        <v>177</v>
      </c>
      <c r="F64" t="s">
        <v>52</v>
      </c>
      <c r="G64" s="33">
        <v>14244</v>
      </c>
      <c r="H64" s="34">
        <v>99.638999999999996</v>
      </c>
      <c r="I64" s="34">
        <v>99.674000000000007</v>
      </c>
      <c r="J64" s="35">
        <v>-3.5114473182586029E-4</v>
      </c>
      <c r="K64" s="35">
        <v>2.5000000000000001E-3</v>
      </c>
      <c r="L64" s="36">
        <v>-498.54000000015384</v>
      </c>
      <c r="M64" t="s">
        <v>573</v>
      </c>
      <c r="N64" t="s">
        <v>594</v>
      </c>
    </row>
    <row r="65" spans="1:14" x14ac:dyDescent="0.3">
      <c r="A65" t="s">
        <v>178</v>
      </c>
      <c r="B65" s="32">
        <v>46293</v>
      </c>
      <c r="C65" t="s">
        <v>43</v>
      </c>
      <c r="D65" t="s">
        <v>27</v>
      </c>
      <c r="E65" t="s">
        <v>179</v>
      </c>
      <c r="F65" t="s">
        <v>41</v>
      </c>
      <c r="G65" s="33">
        <v>1321127</v>
      </c>
      <c r="H65" s="34">
        <v>1.3961399999999999</v>
      </c>
      <c r="I65" s="34">
        <v>1.39669</v>
      </c>
      <c r="J65" s="35">
        <v>-3.9378817060339117E-4</v>
      </c>
      <c r="K65" s="35">
        <v>3.0000000000000001E-3</v>
      </c>
      <c r="L65" s="36">
        <v>-726.61985000006666</v>
      </c>
      <c r="M65" t="s">
        <v>573</v>
      </c>
      <c r="N65" t="s">
        <v>594</v>
      </c>
    </row>
    <row r="66" spans="1:14" x14ac:dyDescent="0.3">
      <c r="A66" t="s">
        <v>180</v>
      </c>
      <c r="B66" s="32">
        <v>46293</v>
      </c>
      <c r="C66" t="s">
        <v>39</v>
      </c>
      <c r="D66" t="s">
        <v>24</v>
      </c>
      <c r="E66" t="s">
        <v>181</v>
      </c>
      <c r="F66" t="s">
        <v>41</v>
      </c>
      <c r="G66" s="33">
        <v>38384</v>
      </c>
      <c r="H66" s="34">
        <v>36.01</v>
      </c>
      <c r="I66" s="34">
        <v>36.119999999999997</v>
      </c>
      <c r="J66" s="35">
        <v>-3.0454042081948904E-3</v>
      </c>
      <c r="K66" s="35">
        <v>0.01</v>
      </c>
      <c r="L66" s="36">
        <v>-4222.239999999978</v>
      </c>
      <c r="M66" t="s">
        <v>573</v>
      </c>
      <c r="N66" t="s">
        <v>594</v>
      </c>
    </row>
    <row r="67" spans="1:14" x14ac:dyDescent="0.3">
      <c r="A67" t="s">
        <v>182</v>
      </c>
      <c r="B67" s="32">
        <v>46293</v>
      </c>
      <c r="C67" t="s">
        <v>39</v>
      </c>
      <c r="D67" t="s">
        <v>24</v>
      </c>
      <c r="E67" t="s">
        <v>183</v>
      </c>
      <c r="F67" t="s">
        <v>41</v>
      </c>
      <c r="G67" s="33">
        <v>22641</v>
      </c>
      <c r="H67" s="34">
        <v>47.08</v>
      </c>
      <c r="I67" s="34">
        <v>47.14</v>
      </c>
      <c r="J67" s="35">
        <v>-1.2728044123886779E-3</v>
      </c>
      <c r="K67" s="35">
        <v>0.01</v>
      </c>
      <c r="L67" s="36">
        <v>-1358.4600000000514</v>
      </c>
      <c r="M67" t="s">
        <v>573</v>
      </c>
      <c r="N67" t="s">
        <v>594</v>
      </c>
    </row>
    <row r="68" spans="1:14" x14ac:dyDescent="0.3">
      <c r="A68" t="s">
        <v>184</v>
      </c>
      <c r="B68" s="32">
        <v>46293</v>
      </c>
      <c r="C68" t="s">
        <v>43</v>
      </c>
      <c r="D68" t="s">
        <v>27</v>
      </c>
      <c r="E68" t="s">
        <v>185</v>
      </c>
      <c r="F68" t="s">
        <v>41</v>
      </c>
      <c r="G68" s="33">
        <v>4921871</v>
      </c>
      <c r="H68" s="34">
        <v>1.1719200000000001</v>
      </c>
      <c r="I68" s="34">
        <v>1.17058</v>
      </c>
      <c r="J68" s="35">
        <v>1.1447316714791975E-3</v>
      </c>
      <c r="K68" s="35">
        <v>3.0000000000000001E-3</v>
      </c>
      <c r="L68" s="36">
        <v>6595.3071400005847</v>
      </c>
      <c r="M68" t="s">
        <v>573</v>
      </c>
      <c r="N68" t="s">
        <v>594</v>
      </c>
    </row>
    <row r="69" spans="1:14" x14ac:dyDescent="0.3">
      <c r="A69" t="s">
        <v>186</v>
      </c>
      <c r="B69" s="32">
        <v>46293</v>
      </c>
      <c r="C69" t="s">
        <v>39</v>
      </c>
      <c r="D69" t="s">
        <v>24</v>
      </c>
      <c r="E69" t="s">
        <v>187</v>
      </c>
      <c r="F69" t="s">
        <v>41</v>
      </c>
      <c r="G69" s="33">
        <v>36522</v>
      </c>
      <c r="H69" s="34">
        <v>138.44</v>
      </c>
      <c r="I69" s="34">
        <v>136.28</v>
      </c>
      <c r="J69" s="35">
        <v>1.5849721162312862E-2</v>
      </c>
      <c r="K69" s="35">
        <v>0.01</v>
      </c>
      <c r="L69" s="36">
        <v>78887.519999999873</v>
      </c>
      <c r="M69" t="s">
        <v>595</v>
      </c>
      <c r="N69" t="s">
        <v>594</v>
      </c>
    </row>
    <row r="70" spans="1:14" x14ac:dyDescent="0.3">
      <c r="A70" t="s">
        <v>188</v>
      </c>
      <c r="B70" s="32">
        <v>46293</v>
      </c>
      <c r="C70" t="s">
        <v>60</v>
      </c>
      <c r="D70" t="s">
        <v>24</v>
      </c>
      <c r="E70" t="s">
        <v>189</v>
      </c>
      <c r="F70" t="s">
        <v>56</v>
      </c>
      <c r="G70" s="33">
        <v>13980</v>
      </c>
      <c r="H70" s="34">
        <v>94.22</v>
      </c>
      <c r="I70" s="34">
        <v>93.88</v>
      </c>
      <c r="J70" s="35">
        <v>3.6216446527482255E-3</v>
      </c>
      <c r="K70" s="35">
        <v>0.01</v>
      </c>
      <c r="L70" s="36">
        <v>4753.200000000048</v>
      </c>
      <c r="M70" t="s">
        <v>573</v>
      </c>
      <c r="N70" t="s">
        <v>594</v>
      </c>
    </row>
    <row r="71" spans="1:14" x14ac:dyDescent="0.3">
      <c r="A71" t="s">
        <v>190</v>
      </c>
      <c r="B71" s="32">
        <v>46293</v>
      </c>
      <c r="C71" t="s">
        <v>60</v>
      </c>
      <c r="D71" t="s">
        <v>24</v>
      </c>
      <c r="E71" t="s">
        <v>191</v>
      </c>
      <c r="F71" t="s">
        <v>56</v>
      </c>
      <c r="G71" s="33">
        <v>17189</v>
      </c>
      <c r="H71" s="34">
        <v>137.38</v>
      </c>
      <c r="I71" s="34">
        <v>138.11000000000001</v>
      </c>
      <c r="J71" s="35">
        <v>-5.2856418796612707E-3</v>
      </c>
      <c r="K71" s="35">
        <v>0.01</v>
      </c>
      <c r="L71" s="36">
        <v>-12547.970000000312</v>
      </c>
      <c r="M71" t="s">
        <v>573</v>
      </c>
      <c r="N71" t="s">
        <v>594</v>
      </c>
    </row>
    <row r="72" spans="1:14" x14ac:dyDescent="0.3">
      <c r="A72" t="s">
        <v>192</v>
      </c>
      <c r="B72" s="32">
        <v>46293</v>
      </c>
      <c r="C72" t="s">
        <v>43</v>
      </c>
      <c r="D72" t="s">
        <v>27</v>
      </c>
      <c r="E72" t="s">
        <v>193</v>
      </c>
      <c r="F72" t="s">
        <v>41</v>
      </c>
      <c r="G72" s="33">
        <v>3434331</v>
      </c>
      <c r="H72" s="34">
        <v>1.22326</v>
      </c>
      <c r="I72" s="34">
        <v>1.2234</v>
      </c>
      <c r="J72" s="35">
        <v>-1.1443518064413028E-4</v>
      </c>
      <c r="K72" s="35">
        <v>3.0000000000000001E-3</v>
      </c>
      <c r="L72" s="36">
        <v>-480.80634000009957</v>
      </c>
      <c r="M72" t="s">
        <v>573</v>
      </c>
      <c r="N72" t="s">
        <v>594</v>
      </c>
    </row>
    <row r="73" spans="1:14" x14ac:dyDescent="0.3">
      <c r="A73" t="s">
        <v>194</v>
      </c>
      <c r="B73" s="32">
        <v>46293</v>
      </c>
      <c r="C73" t="s">
        <v>39</v>
      </c>
      <c r="D73" t="s">
        <v>24</v>
      </c>
      <c r="E73" t="s">
        <v>196</v>
      </c>
      <c r="F73" t="s">
        <v>41</v>
      </c>
      <c r="G73" s="33">
        <v>10465</v>
      </c>
      <c r="H73" s="34">
        <v>235.21</v>
      </c>
      <c r="I73" s="34">
        <v>235.74</v>
      </c>
      <c r="J73" s="35">
        <v>-2.2482395859845638E-3</v>
      </c>
      <c r="K73" s="35">
        <v>0.01</v>
      </c>
      <c r="L73" s="36">
        <v>-5546.4500000000116</v>
      </c>
      <c r="M73" t="s">
        <v>573</v>
      </c>
      <c r="N73" t="s">
        <v>594</v>
      </c>
    </row>
    <row r="74" spans="1:14" x14ac:dyDescent="0.3">
      <c r="A74" t="s">
        <v>197</v>
      </c>
      <c r="B74" s="32">
        <v>46293</v>
      </c>
      <c r="C74" t="s">
        <v>60</v>
      </c>
      <c r="D74" t="s">
        <v>24</v>
      </c>
      <c r="E74" t="s">
        <v>198</v>
      </c>
      <c r="F74" t="s">
        <v>56</v>
      </c>
      <c r="G74" s="33">
        <v>37434</v>
      </c>
      <c r="H74" s="34">
        <v>209.06</v>
      </c>
      <c r="I74" s="34">
        <v>209.01</v>
      </c>
      <c r="J74" s="35">
        <v>2.3922300368408865E-4</v>
      </c>
      <c r="K74" s="35">
        <v>0.01</v>
      </c>
      <c r="L74" s="36">
        <v>1871.7000000004255</v>
      </c>
      <c r="M74" t="s">
        <v>573</v>
      </c>
      <c r="N74" t="s">
        <v>594</v>
      </c>
    </row>
    <row r="75" spans="1:14" x14ac:dyDescent="0.3">
      <c r="A75" t="s">
        <v>199</v>
      </c>
      <c r="B75" s="32">
        <v>46293</v>
      </c>
      <c r="C75" t="s">
        <v>39</v>
      </c>
      <c r="D75" t="s">
        <v>24</v>
      </c>
      <c r="E75" t="s">
        <v>200</v>
      </c>
      <c r="F75" t="s">
        <v>41</v>
      </c>
      <c r="G75" s="33">
        <v>32116</v>
      </c>
      <c r="H75" s="34">
        <v>77.010000000000005</v>
      </c>
      <c r="I75" s="34">
        <v>75.66</v>
      </c>
      <c r="J75" s="35">
        <v>1.7842981760507647E-2</v>
      </c>
      <c r="K75" s="35">
        <v>0.01</v>
      </c>
      <c r="L75" s="36">
        <v>43356.600000000275</v>
      </c>
      <c r="M75" t="s">
        <v>595</v>
      </c>
      <c r="N75" t="s">
        <v>594</v>
      </c>
    </row>
    <row r="76" spans="1:14" x14ac:dyDescent="0.3">
      <c r="A76" t="s">
        <v>201</v>
      </c>
      <c r="B76" s="32">
        <v>46293</v>
      </c>
      <c r="C76" t="s">
        <v>39</v>
      </c>
      <c r="D76" t="s">
        <v>24</v>
      </c>
      <c r="E76" t="s">
        <v>202</v>
      </c>
      <c r="F76" t="s">
        <v>41</v>
      </c>
      <c r="G76" s="33">
        <v>44020</v>
      </c>
      <c r="H76" s="34">
        <v>119.48</v>
      </c>
      <c r="I76" s="34">
        <v>119.15</v>
      </c>
      <c r="J76" s="35">
        <v>2.7696181284095531E-3</v>
      </c>
      <c r="K76" s="35">
        <v>0.01</v>
      </c>
      <c r="L76" s="36">
        <v>14526.599999999926</v>
      </c>
      <c r="M76" t="s">
        <v>573</v>
      </c>
      <c r="N76" t="s">
        <v>594</v>
      </c>
    </row>
    <row r="77" spans="1:14" x14ac:dyDescent="0.3">
      <c r="A77" t="s">
        <v>203</v>
      </c>
      <c r="B77" s="32">
        <v>46293</v>
      </c>
      <c r="C77" t="s">
        <v>46</v>
      </c>
      <c r="D77" t="s">
        <v>25</v>
      </c>
      <c r="E77" t="s">
        <v>204</v>
      </c>
      <c r="F77" t="s">
        <v>48</v>
      </c>
      <c r="G77" s="33">
        <v>9742</v>
      </c>
      <c r="H77" s="34">
        <v>104.836</v>
      </c>
      <c r="I77" s="34">
        <v>104.523</v>
      </c>
      <c r="J77" s="35">
        <v>2.994556222075547E-3</v>
      </c>
      <c r="K77" s="35">
        <v>5.0000000000000001E-3</v>
      </c>
      <c r="L77" s="36">
        <v>3049.2460000000233</v>
      </c>
      <c r="M77" t="s">
        <v>573</v>
      </c>
      <c r="N77" t="s">
        <v>594</v>
      </c>
    </row>
    <row r="78" spans="1:14" x14ac:dyDescent="0.3">
      <c r="A78" t="s">
        <v>205</v>
      </c>
      <c r="B78" s="32">
        <v>46293</v>
      </c>
      <c r="C78" t="s">
        <v>43</v>
      </c>
      <c r="D78" t="s">
        <v>27</v>
      </c>
      <c r="E78" t="s">
        <v>206</v>
      </c>
      <c r="F78" t="s">
        <v>41</v>
      </c>
      <c r="G78" s="33">
        <v>1159030</v>
      </c>
      <c r="H78" s="34">
        <v>1.5648200000000001</v>
      </c>
      <c r="I78" s="34">
        <v>1.56856</v>
      </c>
      <c r="J78" s="35">
        <v>-2.3843525271585752E-3</v>
      </c>
      <c r="K78" s="35">
        <v>3.0000000000000001E-3</v>
      </c>
      <c r="L78" s="36">
        <v>-4334.7721999998312</v>
      </c>
      <c r="M78" t="s">
        <v>573</v>
      </c>
      <c r="N78" t="s">
        <v>594</v>
      </c>
    </row>
    <row r="79" spans="1:14" x14ac:dyDescent="0.3">
      <c r="A79" t="s">
        <v>207</v>
      </c>
      <c r="B79" s="32">
        <v>46293</v>
      </c>
      <c r="C79" t="s">
        <v>39</v>
      </c>
      <c r="D79" t="s">
        <v>24</v>
      </c>
      <c r="E79" t="s">
        <v>208</v>
      </c>
      <c r="F79" t="s">
        <v>41</v>
      </c>
      <c r="G79" s="33">
        <v>6281</v>
      </c>
      <c r="H79" s="34">
        <v>88.04</v>
      </c>
      <c r="I79" s="34">
        <v>88.49</v>
      </c>
      <c r="J79" s="35">
        <v>-5.0853203751835083E-3</v>
      </c>
      <c r="K79" s="35">
        <v>0.01</v>
      </c>
      <c r="L79" s="36">
        <v>-2826.4499999999284</v>
      </c>
      <c r="M79" t="s">
        <v>573</v>
      </c>
      <c r="N79" t="s">
        <v>594</v>
      </c>
    </row>
    <row r="80" spans="1:14" x14ac:dyDescent="0.3">
      <c r="A80" t="s">
        <v>209</v>
      </c>
      <c r="B80" s="32">
        <v>46293</v>
      </c>
      <c r="C80" t="s">
        <v>54</v>
      </c>
      <c r="D80" t="s">
        <v>27</v>
      </c>
      <c r="E80" t="s">
        <v>210</v>
      </c>
      <c r="F80" t="s">
        <v>56</v>
      </c>
      <c r="G80" s="33">
        <v>1984925</v>
      </c>
      <c r="H80" s="34">
        <v>0.91074999999999995</v>
      </c>
      <c r="I80" s="34">
        <v>0.90935999999999995</v>
      </c>
      <c r="J80" s="35">
        <v>1.5285475499252248E-3</v>
      </c>
      <c r="K80" s="35">
        <v>3.0000000000000001E-3</v>
      </c>
      <c r="L80" s="36">
        <v>2759.0457500000048</v>
      </c>
      <c r="M80" t="s">
        <v>573</v>
      </c>
      <c r="N80" t="s">
        <v>594</v>
      </c>
    </row>
    <row r="81" spans="1:14" x14ac:dyDescent="0.3">
      <c r="A81" t="s">
        <v>211</v>
      </c>
      <c r="B81" s="32">
        <v>46293</v>
      </c>
      <c r="C81" t="s">
        <v>46</v>
      </c>
      <c r="D81" t="s">
        <v>25</v>
      </c>
      <c r="E81" t="s">
        <v>212</v>
      </c>
      <c r="F81" t="s">
        <v>48</v>
      </c>
      <c r="G81" s="33">
        <v>18675</v>
      </c>
      <c r="H81" s="34">
        <v>92.31</v>
      </c>
      <c r="I81" s="34"/>
      <c r="J81" s="35"/>
      <c r="K81" s="35">
        <v>5.0000000000000001E-3</v>
      </c>
      <c r="L81" s="36"/>
      <c r="M81" t="s">
        <v>596</v>
      </c>
      <c r="N81" t="s">
        <v>594</v>
      </c>
    </row>
    <row r="82" spans="1:14" x14ac:dyDescent="0.3">
      <c r="A82" t="s">
        <v>213</v>
      </c>
      <c r="B82" s="32">
        <v>46293</v>
      </c>
      <c r="C82" t="s">
        <v>54</v>
      </c>
      <c r="D82" t="s">
        <v>27</v>
      </c>
      <c r="E82" t="s">
        <v>214</v>
      </c>
      <c r="F82" t="s">
        <v>56</v>
      </c>
      <c r="G82" s="33">
        <v>4363433</v>
      </c>
      <c r="H82" s="34">
        <v>1.0567899999999999</v>
      </c>
      <c r="I82" s="34">
        <v>1.05616</v>
      </c>
      <c r="J82" s="35">
        <v>5.9650053022260684E-4</v>
      </c>
      <c r="K82" s="35">
        <v>3.0000000000000001E-3</v>
      </c>
      <c r="L82" s="36">
        <v>2748.9627899996003</v>
      </c>
      <c r="M82" t="s">
        <v>573</v>
      </c>
      <c r="N82" t="s">
        <v>594</v>
      </c>
    </row>
    <row r="83" spans="1:14" x14ac:dyDescent="0.3">
      <c r="A83" t="s">
        <v>215</v>
      </c>
      <c r="B83" s="32">
        <v>46293</v>
      </c>
      <c r="C83" t="s">
        <v>50</v>
      </c>
      <c r="D83" t="s">
        <v>25</v>
      </c>
      <c r="E83" t="s">
        <v>216</v>
      </c>
      <c r="F83" t="s">
        <v>52</v>
      </c>
      <c r="G83" s="33">
        <v>4492</v>
      </c>
      <c r="H83" s="34">
        <v>106.283</v>
      </c>
      <c r="I83" s="34">
        <v>106.105</v>
      </c>
      <c r="J83" s="35">
        <v>1.6775835257527663E-3</v>
      </c>
      <c r="K83" s="35">
        <v>5.0000000000000001E-3</v>
      </c>
      <c r="L83" s="36">
        <v>799.57599999998774</v>
      </c>
      <c r="M83" t="s">
        <v>573</v>
      </c>
      <c r="N83" t="s">
        <v>594</v>
      </c>
    </row>
    <row r="84" spans="1:14" x14ac:dyDescent="0.3">
      <c r="A84" t="s">
        <v>217</v>
      </c>
      <c r="B84" s="32">
        <v>46293</v>
      </c>
      <c r="C84" t="s">
        <v>43</v>
      </c>
      <c r="D84" t="s">
        <v>27</v>
      </c>
      <c r="E84" t="s">
        <v>218</v>
      </c>
      <c r="F84" t="s">
        <v>41</v>
      </c>
      <c r="G84" s="33">
        <v>1375951</v>
      </c>
      <c r="H84" s="34">
        <v>0.98607999999999996</v>
      </c>
      <c r="I84" s="34">
        <v>0.98750000000000004</v>
      </c>
      <c r="J84" s="35">
        <v>-1.4379746835443926E-3</v>
      </c>
      <c r="K84" s="35">
        <v>3.0000000000000001E-3</v>
      </c>
      <c r="L84" s="36">
        <v>-1953.8504200001209</v>
      </c>
      <c r="M84" t="s">
        <v>573</v>
      </c>
      <c r="N84" t="s">
        <v>594</v>
      </c>
    </row>
    <row r="85" spans="1:14" x14ac:dyDescent="0.3">
      <c r="A85" t="s">
        <v>219</v>
      </c>
      <c r="B85" s="32">
        <v>46293</v>
      </c>
      <c r="C85" t="s">
        <v>60</v>
      </c>
      <c r="D85" t="s">
        <v>24</v>
      </c>
      <c r="E85" t="s">
        <v>220</v>
      </c>
      <c r="F85" t="s">
        <v>56</v>
      </c>
      <c r="G85" s="33">
        <v>35527</v>
      </c>
      <c r="H85" s="34">
        <v>34.159999999999997</v>
      </c>
      <c r="I85" s="34">
        <v>34.21</v>
      </c>
      <c r="J85" s="35">
        <v>-1.4615609470916182E-3</v>
      </c>
      <c r="K85" s="35">
        <v>0.01</v>
      </c>
      <c r="L85" s="36">
        <v>-1776.3500000001516</v>
      </c>
      <c r="M85" t="s">
        <v>573</v>
      </c>
      <c r="N85" t="s">
        <v>594</v>
      </c>
    </row>
    <row r="86" spans="1:14" x14ac:dyDescent="0.3">
      <c r="A86" t="s">
        <v>221</v>
      </c>
      <c r="B86" s="32">
        <v>46293</v>
      </c>
      <c r="C86" t="s">
        <v>96</v>
      </c>
      <c r="D86" t="s">
        <v>26</v>
      </c>
      <c r="E86" t="s">
        <v>222</v>
      </c>
      <c r="F86" t="s">
        <v>52</v>
      </c>
      <c r="G86" s="33">
        <v>18096</v>
      </c>
      <c r="H86" s="34">
        <v>99.483999999999995</v>
      </c>
      <c r="I86" s="34">
        <v>99.518000000000001</v>
      </c>
      <c r="J86" s="35">
        <v>-3.4164673727371959E-4</v>
      </c>
      <c r="K86" s="35">
        <v>2.5000000000000001E-3</v>
      </c>
      <c r="L86" s="36">
        <v>-615.26400000010904</v>
      </c>
      <c r="M86" t="s">
        <v>573</v>
      </c>
      <c r="N86" t="s">
        <v>594</v>
      </c>
    </row>
    <row r="87" spans="1:14" x14ac:dyDescent="0.3">
      <c r="A87" t="s">
        <v>223</v>
      </c>
      <c r="B87" s="32">
        <v>46293</v>
      </c>
      <c r="C87" t="s">
        <v>77</v>
      </c>
      <c r="D87" t="s">
        <v>26</v>
      </c>
      <c r="E87" t="s">
        <v>224</v>
      </c>
      <c r="F87" t="s">
        <v>48</v>
      </c>
      <c r="G87" s="33">
        <v>14637</v>
      </c>
      <c r="H87" s="34">
        <v>96.680999999999997</v>
      </c>
      <c r="I87" s="34">
        <v>96.68</v>
      </c>
      <c r="J87" s="35">
        <v>1.0343400910121679E-5</v>
      </c>
      <c r="K87" s="35">
        <v>2.5000000000000001E-3</v>
      </c>
      <c r="L87" s="36">
        <v>14.636999999861885</v>
      </c>
      <c r="M87" t="s">
        <v>573</v>
      </c>
      <c r="N87" t="s">
        <v>594</v>
      </c>
    </row>
    <row r="88" spans="1:14" x14ac:dyDescent="0.3">
      <c r="A88" t="s">
        <v>225</v>
      </c>
      <c r="B88" s="32">
        <v>46293</v>
      </c>
      <c r="C88" t="s">
        <v>43</v>
      </c>
      <c r="D88" t="s">
        <v>27</v>
      </c>
      <c r="E88" t="s">
        <v>226</v>
      </c>
      <c r="F88" t="s">
        <v>41</v>
      </c>
      <c r="G88" s="33">
        <v>485800</v>
      </c>
      <c r="H88" s="34">
        <v>1.50342</v>
      </c>
      <c r="I88" s="34">
        <v>1.5044200000000001</v>
      </c>
      <c r="J88" s="35">
        <v>-6.647079937784075E-4</v>
      </c>
      <c r="K88" s="35">
        <v>3.0000000000000001E-3</v>
      </c>
      <c r="L88" s="36">
        <v>-485.80000000005435</v>
      </c>
      <c r="M88" t="s">
        <v>573</v>
      </c>
      <c r="N88" t="s">
        <v>594</v>
      </c>
    </row>
    <row r="89" spans="1:14" x14ac:dyDescent="0.3">
      <c r="A89" t="s">
        <v>227</v>
      </c>
      <c r="B89" s="32">
        <v>46293</v>
      </c>
      <c r="C89" t="s">
        <v>50</v>
      </c>
      <c r="D89" t="s">
        <v>25</v>
      </c>
      <c r="E89" t="s">
        <v>228</v>
      </c>
      <c r="F89" t="s">
        <v>52</v>
      </c>
      <c r="G89" s="33">
        <v>15239</v>
      </c>
      <c r="H89" s="34">
        <v>101.289</v>
      </c>
      <c r="I89" s="34">
        <v>101.21899999999999</v>
      </c>
      <c r="J89" s="35">
        <v>6.915697645699661E-4</v>
      </c>
      <c r="K89" s="35">
        <v>5.0000000000000001E-3</v>
      </c>
      <c r="L89" s="36">
        <v>1066.7300000001126</v>
      </c>
      <c r="M89" t="s">
        <v>573</v>
      </c>
      <c r="N89" t="s">
        <v>594</v>
      </c>
    </row>
    <row r="90" spans="1:14" x14ac:dyDescent="0.3">
      <c r="A90" t="s">
        <v>229</v>
      </c>
      <c r="B90" s="32">
        <v>46293</v>
      </c>
      <c r="C90" t="s">
        <v>60</v>
      </c>
      <c r="D90" t="s">
        <v>24</v>
      </c>
      <c r="E90" t="s">
        <v>230</v>
      </c>
      <c r="F90" t="s">
        <v>56</v>
      </c>
      <c r="G90" s="33">
        <v>15347</v>
      </c>
      <c r="H90" s="34">
        <v>185.34</v>
      </c>
      <c r="I90" s="34">
        <v>184.94</v>
      </c>
      <c r="J90" s="35">
        <v>2.162863631448068E-3</v>
      </c>
      <c r="K90" s="35">
        <v>0.01</v>
      </c>
      <c r="L90" s="36">
        <v>6138.8000000000875</v>
      </c>
      <c r="M90" t="s">
        <v>573</v>
      </c>
      <c r="N90" t="s">
        <v>594</v>
      </c>
    </row>
    <row r="91" spans="1:14" x14ac:dyDescent="0.3">
      <c r="A91" t="s">
        <v>231</v>
      </c>
      <c r="B91" s="32">
        <v>46293</v>
      </c>
      <c r="C91" t="s">
        <v>60</v>
      </c>
      <c r="D91" t="s">
        <v>24</v>
      </c>
      <c r="E91" t="s">
        <v>233</v>
      </c>
      <c r="F91" t="s">
        <v>56</v>
      </c>
      <c r="G91" s="33">
        <v>38655</v>
      </c>
      <c r="H91" s="34">
        <v>114.66</v>
      </c>
      <c r="I91" s="34">
        <v>114.69</v>
      </c>
      <c r="J91" s="35">
        <v>-2.6157467957102742E-4</v>
      </c>
      <c r="K91" s="35">
        <v>0.01</v>
      </c>
      <c r="L91" s="36">
        <v>-1159.650000000044</v>
      </c>
      <c r="M91" t="s">
        <v>573</v>
      </c>
      <c r="N91" t="s">
        <v>594</v>
      </c>
    </row>
    <row r="92" spans="1:14" x14ac:dyDescent="0.3">
      <c r="A92" t="s">
        <v>234</v>
      </c>
      <c r="B92" s="32">
        <v>46293</v>
      </c>
      <c r="C92" t="s">
        <v>50</v>
      </c>
      <c r="D92" t="s">
        <v>25</v>
      </c>
      <c r="E92" t="s">
        <v>235</v>
      </c>
      <c r="F92" t="s">
        <v>52</v>
      </c>
      <c r="G92" s="33">
        <v>15923</v>
      </c>
      <c r="H92" s="34">
        <v>107.74299999999999</v>
      </c>
      <c r="I92" s="34">
        <v>106.166</v>
      </c>
      <c r="J92" s="35">
        <v>1.4854096415048116E-2</v>
      </c>
      <c r="K92" s="35">
        <v>5.0000000000000001E-3</v>
      </c>
      <c r="L92" s="36">
        <v>25110.570999999971</v>
      </c>
      <c r="M92" t="s">
        <v>595</v>
      </c>
      <c r="N92" t="s">
        <v>594</v>
      </c>
    </row>
    <row r="93" spans="1:14" x14ac:dyDescent="0.3">
      <c r="A93" t="s">
        <v>236</v>
      </c>
      <c r="B93" s="32">
        <v>46293</v>
      </c>
      <c r="C93" t="s">
        <v>39</v>
      </c>
      <c r="D93" t="s">
        <v>24</v>
      </c>
      <c r="E93" t="s">
        <v>237</v>
      </c>
      <c r="F93" t="s">
        <v>41</v>
      </c>
      <c r="G93" s="33">
        <v>7073</v>
      </c>
      <c r="H93" s="34">
        <v>292.13</v>
      </c>
      <c r="I93" s="34">
        <v>292</v>
      </c>
      <c r="J93" s="35">
        <v>4.4520547945203922E-4</v>
      </c>
      <c r="K93" s="35">
        <v>0.01</v>
      </c>
      <c r="L93" s="36">
        <v>919.48999999996784</v>
      </c>
      <c r="M93" t="s">
        <v>573</v>
      </c>
      <c r="N93" t="s">
        <v>594</v>
      </c>
    </row>
    <row r="94" spans="1:14" x14ac:dyDescent="0.3">
      <c r="A94" t="s">
        <v>238</v>
      </c>
      <c r="B94" s="32">
        <v>46293</v>
      </c>
      <c r="C94" t="s">
        <v>60</v>
      </c>
      <c r="D94" t="s">
        <v>24</v>
      </c>
      <c r="E94" t="s">
        <v>239</v>
      </c>
      <c r="F94" t="s">
        <v>56</v>
      </c>
      <c r="G94" s="33">
        <v>37523</v>
      </c>
      <c r="H94" s="34">
        <v>222.54</v>
      </c>
      <c r="I94" s="34">
        <v>220.9</v>
      </c>
      <c r="J94" s="35">
        <v>7.4241738343141074E-3</v>
      </c>
      <c r="K94" s="35">
        <v>0.01</v>
      </c>
      <c r="L94" s="36">
        <v>61537.719999999485</v>
      </c>
      <c r="M94" t="s">
        <v>573</v>
      </c>
      <c r="N94" t="s">
        <v>594</v>
      </c>
    </row>
    <row r="95" spans="1:14" x14ac:dyDescent="0.3">
      <c r="A95" t="s">
        <v>240</v>
      </c>
      <c r="B95" s="32">
        <v>46293</v>
      </c>
      <c r="C95" t="s">
        <v>60</v>
      </c>
      <c r="D95" t="s">
        <v>24</v>
      </c>
      <c r="E95" t="s">
        <v>241</v>
      </c>
      <c r="F95" t="s">
        <v>56</v>
      </c>
      <c r="G95" s="33">
        <v>35841</v>
      </c>
      <c r="H95" s="34">
        <v>209.48</v>
      </c>
      <c r="I95" s="34">
        <v>208.75</v>
      </c>
      <c r="J95" s="35">
        <v>3.4970059880239032E-3</v>
      </c>
      <c r="K95" s="35">
        <v>0.01</v>
      </c>
      <c r="L95" s="36">
        <v>26163.929999999633</v>
      </c>
      <c r="M95" t="s">
        <v>573</v>
      </c>
      <c r="N95" t="s">
        <v>594</v>
      </c>
    </row>
    <row r="96" spans="1:14" x14ac:dyDescent="0.3">
      <c r="A96" t="s">
        <v>242</v>
      </c>
      <c r="B96" s="32">
        <v>46293</v>
      </c>
      <c r="C96" t="s">
        <v>54</v>
      </c>
      <c r="D96" t="s">
        <v>27</v>
      </c>
      <c r="E96" t="s">
        <v>244</v>
      </c>
      <c r="F96" t="s">
        <v>56</v>
      </c>
      <c r="G96" s="33">
        <v>3287749</v>
      </c>
      <c r="H96" s="34">
        <v>1.45177</v>
      </c>
      <c r="I96" s="34">
        <v>1.44919</v>
      </c>
      <c r="J96" s="35">
        <v>1.78030485995627E-3</v>
      </c>
      <c r="K96" s="35">
        <v>3.0000000000000001E-3</v>
      </c>
      <c r="L96" s="36">
        <v>8482.3924200000874</v>
      </c>
      <c r="M96" t="s">
        <v>573</v>
      </c>
      <c r="N96" t="s">
        <v>594</v>
      </c>
    </row>
    <row r="97" spans="1:14" x14ac:dyDescent="0.3">
      <c r="A97" t="s">
        <v>245</v>
      </c>
      <c r="B97" s="32">
        <v>46293</v>
      </c>
      <c r="C97" t="s">
        <v>77</v>
      </c>
      <c r="D97" t="s">
        <v>26</v>
      </c>
      <c r="E97" t="s">
        <v>246</v>
      </c>
      <c r="F97" t="s">
        <v>48</v>
      </c>
      <c r="G97" s="33">
        <v>17112</v>
      </c>
      <c r="H97" s="34">
        <v>97.451999999999998</v>
      </c>
      <c r="I97" s="34">
        <v>97.570999999999998</v>
      </c>
      <c r="J97" s="35">
        <v>-1.2196246835637615E-3</v>
      </c>
      <c r="K97" s="35">
        <v>2.5000000000000001E-3</v>
      </c>
      <c r="L97" s="36">
        <v>-2036.3279999999961</v>
      </c>
      <c r="M97" t="s">
        <v>573</v>
      </c>
      <c r="N97" t="s">
        <v>594</v>
      </c>
    </row>
    <row r="98" spans="1:14" x14ac:dyDescent="0.3">
      <c r="A98" t="s">
        <v>247</v>
      </c>
      <c r="B98" s="32">
        <v>46293</v>
      </c>
      <c r="C98" t="s">
        <v>50</v>
      </c>
      <c r="D98" t="s">
        <v>25</v>
      </c>
      <c r="E98" t="s">
        <v>248</v>
      </c>
      <c r="F98" t="s">
        <v>52</v>
      </c>
      <c r="G98" s="33">
        <v>5176</v>
      </c>
      <c r="H98" s="34">
        <v>105.354</v>
      </c>
      <c r="I98" s="34">
        <v>105.48399999999999</v>
      </c>
      <c r="J98" s="35">
        <v>-1.2324143946000859E-3</v>
      </c>
      <c r="K98" s="35">
        <v>5.0000000000000001E-3</v>
      </c>
      <c r="L98" s="36">
        <v>-672.87999999997646</v>
      </c>
      <c r="M98" t="s">
        <v>573</v>
      </c>
      <c r="N98" t="s">
        <v>594</v>
      </c>
    </row>
    <row r="99" spans="1:14" x14ac:dyDescent="0.3">
      <c r="A99" t="s">
        <v>249</v>
      </c>
      <c r="B99" s="32">
        <v>46293</v>
      </c>
      <c r="C99" t="s">
        <v>39</v>
      </c>
      <c r="D99" t="s">
        <v>24</v>
      </c>
      <c r="E99" t="s">
        <v>250</v>
      </c>
      <c r="F99" t="s">
        <v>41</v>
      </c>
      <c r="G99" s="33">
        <v>41713</v>
      </c>
      <c r="H99" s="34">
        <v>216.51</v>
      </c>
      <c r="I99" s="34">
        <v>216.68</v>
      </c>
      <c r="J99" s="35">
        <v>-7.8456710356293114E-4</v>
      </c>
      <c r="K99" s="35">
        <v>0.01</v>
      </c>
      <c r="L99" s="36">
        <v>-7091.210000000664</v>
      </c>
      <c r="M99" t="s">
        <v>573</v>
      </c>
      <c r="N99" t="s">
        <v>594</v>
      </c>
    </row>
    <row r="100" spans="1:14" x14ac:dyDescent="0.3">
      <c r="A100" t="s">
        <v>251</v>
      </c>
      <c r="B100" s="32">
        <v>46293</v>
      </c>
      <c r="C100" t="s">
        <v>60</v>
      </c>
      <c r="D100" t="s">
        <v>24</v>
      </c>
      <c r="E100" t="s">
        <v>252</v>
      </c>
      <c r="F100" t="s">
        <v>56</v>
      </c>
      <c r="G100" s="33">
        <v>28177</v>
      </c>
      <c r="H100" s="34">
        <v>228.6</v>
      </c>
      <c r="I100" s="34">
        <v>230.45</v>
      </c>
      <c r="J100" s="35">
        <v>-8.0277717509220844E-3</v>
      </c>
      <c r="K100" s="35">
        <v>0.01</v>
      </c>
      <c r="L100" s="36">
        <v>-52127.449999999837</v>
      </c>
      <c r="M100" t="s">
        <v>573</v>
      </c>
      <c r="N100" t="s">
        <v>594</v>
      </c>
    </row>
    <row r="101" spans="1:14" x14ac:dyDescent="0.3">
      <c r="A101" t="s">
        <v>253</v>
      </c>
      <c r="B101" s="32">
        <v>46293</v>
      </c>
      <c r="C101" t="s">
        <v>60</v>
      </c>
      <c r="D101" t="s">
        <v>24</v>
      </c>
      <c r="E101" t="s">
        <v>254</v>
      </c>
      <c r="F101" t="s">
        <v>56</v>
      </c>
      <c r="G101" s="33">
        <v>34857</v>
      </c>
      <c r="H101" s="34">
        <v>62.79</v>
      </c>
      <c r="I101" s="34">
        <v>62.76</v>
      </c>
      <c r="J101" s="35">
        <v>4.7801147227535275E-4</v>
      </c>
      <c r="K101" s="35">
        <v>0.01</v>
      </c>
      <c r="L101" s="36">
        <v>1045.7100000000396</v>
      </c>
      <c r="M101" t="s">
        <v>573</v>
      </c>
      <c r="N101" t="s">
        <v>594</v>
      </c>
    </row>
    <row r="102" spans="1:14" x14ac:dyDescent="0.3">
      <c r="A102" t="s">
        <v>255</v>
      </c>
      <c r="B102" s="32">
        <v>46293</v>
      </c>
      <c r="C102" t="s">
        <v>43</v>
      </c>
      <c r="D102" t="s">
        <v>27</v>
      </c>
      <c r="E102" t="s">
        <v>256</v>
      </c>
      <c r="F102" t="s">
        <v>41</v>
      </c>
      <c r="G102" s="33">
        <v>2323172</v>
      </c>
      <c r="H102" s="34">
        <v>1.4709300000000001</v>
      </c>
      <c r="I102" s="34">
        <v>1.4700800000000001</v>
      </c>
      <c r="J102" s="35">
        <v>5.7819982585982893E-4</v>
      </c>
      <c r="K102" s="35">
        <v>3.0000000000000001E-3</v>
      </c>
      <c r="L102" s="36">
        <v>1974.6962000000403</v>
      </c>
      <c r="M102" t="s">
        <v>573</v>
      </c>
      <c r="N102" t="s">
        <v>594</v>
      </c>
    </row>
    <row r="103" spans="1:14" x14ac:dyDescent="0.3">
      <c r="A103" t="s">
        <v>257</v>
      </c>
      <c r="B103" s="32">
        <v>46293</v>
      </c>
      <c r="C103" t="s">
        <v>54</v>
      </c>
      <c r="D103" t="s">
        <v>27</v>
      </c>
      <c r="E103" t="s">
        <v>258</v>
      </c>
      <c r="F103" t="s">
        <v>56</v>
      </c>
      <c r="G103" s="33">
        <v>4067612</v>
      </c>
      <c r="H103" s="34">
        <v>0.91818</v>
      </c>
      <c r="I103" s="34">
        <v>0.91683000000000003</v>
      </c>
      <c r="J103" s="35">
        <v>1.4724649062530265E-3</v>
      </c>
      <c r="K103" s="35">
        <v>3.0000000000000001E-3</v>
      </c>
      <c r="L103" s="36">
        <v>5491.2761999998465</v>
      </c>
      <c r="M103" t="s">
        <v>573</v>
      </c>
      <c r="N103" t="s">
        <v>594</v>
      </c>
    </row>
    <row r="104" spans="1:14" x14ac:dyDescent="0.3">
      <c r="A104" t="s">
        <v>259</v>
      </c>
      <c r="B104" s="32">
        <v>46293</v>
      </c>
      <c r="C104" t="s">
        <v>77</v>
      </c>
      <c r="D104" t="s">
        <v>26</v>
      </c>
      <c r="E104" t="s">
        <v>260</v>
      </c>
      <c r="F104" t="s">
        <v>48</v>
      </c>
      <c r="G104" s="33">
        <v>16064</v>
      </c>
      <c r="H104" s="34">
        <v>96.843999999999994</v>
      </c>
      <c r="I104" s="34">
        <v>96.710999999999999</v>
      </c>
      <c r="J104" s="35">
        <v>1.3752313594109829E-3</v>
      </c>
      <c r="K104" s="35">
        <v>2.5000000000000001E-3</v>
      </c>
      <c r="L104" s="36">
        <v>2136.5119999999288</v>
      </c>
      <c r="M104" t="s">
        <v>573</v>
      </c>
      <c r="N104" t="s">
        <v>594</v>
      </c>
    </row>
    <row r="105" spans="1:14" x14ac:dyDescent="0.3">
      <c r="A105" t="s">
        <v>261</v>
      </c>
      <c r="B105" s="32">
        <v>46293</v>
      </c>
      <c r="C105" t="s">
        <v>77</v>
      </c>
      <c r="D105" t="s">
        <v>26</v>
      </c>
      <c r="E105" t="s">
        <v>262</v>
      </c>
      <c r="F105" t="s">
        <v>48</v>
      </c>
      <c r="G105" s="33">
        <v>19035</v>
      </c>
      <c r="H105" s="34">
        <v>100.428</v>
      </c>
      <c r="I105" s="34">
        <v>100.617</v>
      </c>
      <c r="J105" s="35">
        <v>-1.878410209010477E-3</v>
      </c>
      <c r="K105" s="35">
        <v>2.5000000000000001E-3</v>
      </c>
      <c r="L105" s="36">
        <v>-3597.6150000001362</v>
      </c>
      <c r="M105" t="s">
        <v>573</v>
      </c>
      <c r="N105" t="s">
        <v>594</v>
      </c>
    </row>
    <row r="106" spans="1:14" x14ac:dyDescent="0.3">
      <c r="A106" t="s">
        <v>263</v>
      </c>
      <c r="B106" s="32">
        <v>46293</v>
      </c>
      <c r="C106" t="s">
        <v>60</v>
      </c>
      <c r="D106" t="s">
        <v>24</v>
      </c>
      <c r="E106" t="s">
        <v>264</v>
      </c>
      <c r="F106" t="s">
        <v>56</v>
      </c>
      <c r="G106" s="33">
        <v>48365</v>
      </c>
      <c r="H106" s="34">
        <v>27</v>
      </c>
      <c r="I106" s="34">
        <v>27.02</v>
      </c>
      <c r="J106" s="35">
        <v>-7.4019245003699387E-4</v>
      </c>
      <c r="K106" s="35">
        <v>0.01</v>
      </c>
      <c r="L106" s="36">
        <v>-967.29999999997938</v>
      </c>
      <c r="M106" t="s">
        <v>573</v>
      </c>
      <c r="N106" t="s">
        <v>594</v>
      </c>
    </row>
    <row r="107" spans="1:14" x14ac:dyDescent="0.3">
      <c r="A107" t="s">
        <v>265</v>
      </c>
      <c r="B107" s="32">
        <v>46293</v>
      </c>
      <c r="C107" t="s">
        <v>60</v>
      </c>
      <c r="D107" t="s">
        <v>24</v>
      </c>
      <c r="E107" t="s">
        <v>266</v>
      </c>
      <c r="F107" t="s">
        <v>56</v>
      </c>
      <c r="G107" s="33">
        <v>10287</v>
      </c>
      <c r="H107" s="34">
        <v>94.05</v>
      </c>
      <c r="I107" s="34">
        <v>96.64</v>
      </c>
      <c r="J107" s="35">
        <v>-2.6800496688741758E-2</v>
      </c>
      <c r="K107" s="35">
        <v>0.01</v>
      </c>
      <c r="L107" s="36">
        <v>-26643.330000000034</v>
      </c>
      <c r="M107" t="s">
        <v>595</v>
      </c>
      <c r="N107" t="s">
        <v>594</v>
      </c>
    </row>
    <row r="108" spans="1:14" x14ac:dyDescent="0.3">
      <c r="A108" t="s">
        <v>267</v>
      </c>
      <c r="B108" s="32">
        <v>46293</v>
      </c>
      <c r="C108" t="s">
        <v>46</v>
      </c>
      <c r="D108" t="s">
        <v>25</v>
      </c>
      <c r="E108" t="s">
        <v>268</v>
      </c>
      <c r="F108" t="s">
        <v>48</v>
      </c>
      <c r="G108" s="33">
        <v>16554</v>
      </c>
      <c r="H108" s="34">
        <v>105.289</v>
      </c>
      <c r="I108" s="34">
        <v>105.828</v>
      </c>
      <c r="J108" s="35">
        <v>-5.0931700495143199E-3</v>
      </c>
      <c r="K108" s="35">
        <v>5.0000000000000001E-3</v>
      </c>
      <c r="L108" s="36">
        <v>-8922.6060000000252</v>
      </c>
      <c r="M108" t="s">
        <v>595</v>
      </c>
      <c r="N108" t="s">
        <v>594</v>
      </c>
    </row>
    <row r="109" spans="1:14" x14ac:dyDescent="0.3">
      <c r="A109" t="s">
        <v>269</v>
      </c>
      <c r="B109" s="32">
        <v>46293</v>
      </c>
      <c r="C109" t="s">
        <v>60</v>
      </c>
      <c r="D109" t="s">
        <v>24</v>
      </c>
      <c r="E109" t="s">
        <v>270</v>
      </c>
      <c r="F109" t="s">
        <v>56</v>
      </c>
      <c r="G109" s="33">
        <v>4437</v>
      </c>
      <c r="H109" s="34">
        <v>250.1</v>
      </c>
      <c r="I109" s="34">
        <v>249.67</v>
      </c>
      <c r="J109" s="35">
        <v>1.722273400889201E-3</v>
      </c>
      <c r="K109" s="35">
        <v>0.01</v>
      </c>
      <c r="L109" s="36">
        <v>1907.9100000000303</v>
      </c>
      <c r="M109" t="s">
        <v>573</v>
      </c>
      <c r="N109" t="s">
        <v>594</v>
      </c>
    </row>
    <row r="110" spans="1:14" x14ac:dyDescent="0.3">
      <c r="A110" t="s">
        <v>271</v>
      </c>
      <c r="B110" s="32">
        <v>46293</v>
      </c>
      <c r="C110" t="s">
        <v>96</v>
      </c>
      <c r="D110" t="s">
        <v>26</v>
      </c>
      <c r="E110" t="s">
        <v>272</v>
      </c>
      <c r="F110" t="s">
        <v>52</v>
      </c>
      <c r="G110" s="33">
        <v>19443</v>
      </c>
      <c r="H110" s="34">
        <v>97.194000000000003</v>
      </c>
      <c r="I110" s="34">
        <v>96.72</v>
      </c>
      <c r="J110" s="35">
        <v>4.9007444168734883E-3</v>
      </c>
      <c r="K110" s="35">
        <v>2.5000000000000001E-3</v>
      </c>
      <c r="L110" s="36">
        <v>9215.9820000000727</v>
      </c>
      <c r="M110" t="s">
        <v>595</v>
      </c>
      <c r="N110" t="s">
        <v>594</v>
      </c>
    </row>
    <row r="111" spans="1:14" x14ac:dyDescent="0.3">
      <c r="A111" t="s">
        <v>273</v>
      </c>
      <c r="B111" s="32">
        <v>46293</v>
      </c>
      <c r="C111" t="s">
        <v>77</v>
      </c>
      <c r="D111" t="s">
        <v>26</v>
      </c>
      <c r="E111" t="s">
        <v>275</v>
      </c>
      <c r="F111" t="s">
        <v>48</v>
      </c>
      <c r="G111" s="33">
        <v>9668</v>
      </c>
      <c r="H111" s="34">
        <v>101.624</v>
      </c>
      <c r="I111" s="34">
        <v>101.773</v>
      </c>
      <c r="J111" s="35">
        <v>-1.4640425260137846E-3</v>
      </c>
      <c r="K111" s="35">
        <v>2.5000000000000001E-3</v>
      </c>
      <c r="L111" s="36">
        <v>-1440.5320000000088</v>
      </c>
      <c r="M111" t="s">
        <v>573</v>
      </c>
      <c r="N111" t="s">
        <v>594</v>
      </c>
    </row>
    <row r="112" spans="1:14" x14ac:dyDescent="0.3">
      <c r="A112" t="s">
        <v>276</v>
      </c>
      <c r="B112" s="32">
        <v>46293</v>
      </c>
      <c r="C112" t="s">
        <v>96</v>
      </c>
      <c r="D112" t="s">
        <v>26</v>
      </c>
      <c r="E112" t="s">
        <v>277</v>
      </c>
      <c r="F112" t="s">
        <v>52</v>
      </c>
      <c r="G112" s="33">
        <v>16398</v>
      </c>
      <c r="H112" s="34">
        <v>97.251999999999995</v>
      </c>
      <c r="I112" s="34">
        <v>97.376999999999995</v>
      </c>
      <c r="J112" s="35">
        <v>-1.28367068198856E-3</v>
      </c>
      <c r="K112" s="35">
        <v>2.5000000000000001E-3</v>
      </c>
      <c r="L112" s="36">
        <v>-2049.75</v>
      </c>
      <c r="M112" t="s">
        <v>573</v>
      </c>
      <c r="N112" t="s">
        <v>594</v>
      </c>
    </row>
    <row r="113" spans="1:14" x14ac:dyDescent="0.3">
      <c r="A113" t="s">
        <v>278</v>
      </c>
      <c r="B113" s="32">
        <v>46293</v>
      </c>
      <c r="C113" t="s">
        <v>50</v>
      </c>
      <c r="D113" t="s">
        <v>25</v>
      </c>
      <c r="E113" t="s">
        <v>279</v>
      </c>
      <c r="F113" t="s">
        <v>52</v>
      </c>
      <c r="G113" s="33">
        <v>11983</v>
      </c>
      <c r="H113" s="34">
        <v>96.540999999999997</v>
      </c>
      <c r="I113" s="34">
        <v>97.134</v>
      </c>
      <c r="J113" s="35">
        <v>-6.1049683941771524E-3</v>
      </c>
      <c r="K113" s="35">
        <v>5.0000000000000001E-3</v>
      </c>
      <c r="L113" s="36">
        <v>-7105.9190000000426</v>
      </c>
      <c r="M113" t="s">
        <v>595</v>
      </c>
      <c r="N113" t="s">
        <v>594</v>
      </c>
    </row>
    <row r="114" spans="1:14" x14ac:dyDescent="0.3">
      <c r="A114" t="s">
        <v>280</v>
      </c>
      <c r="B114" s="32">
        <v>46293</v>
      </c>
      <c r="C114" t="s">
        <v>43</v>
      </c>
      <c r="D114" t="s">
        <v>27</v>
      </c>
      <c r="E114" t="s">
        <v>281</v>
      </c>
      <c r="F114" t="s">
        <v>41</v>
      </c>
      <c r="G114" s="33">
        <v>511412</v>
      </c>
      <c r="H114" s="34">
        <v>0.60809999999999997</v>
      </c>
      <c r="I114" s="34">
        <v>0.60568999999999995</v>
      </c>
      <c r="J114" s="35">
        <v>3.9789331176014516E-3</v>
      </c>
      <c r="K114" s="35">
        <v>3.0000000000000001E-3</v>
      </c>
      <c r="L114" s="36">
        <v>1232.502920000012</v>
      </c>
      <c r="M114" t="s">
        <v>595</v>
      </c>
      <c r="N114" t="s">
        <v>594</v>
      </c>
    </row>
    <row r="115" spans="1:14" x14ac:dyDescent="0.3">
      <c r="A115" t="s">
        <v>282</v>
      </c>
      <c r="B115" s="32">
        <v>46293</v>
      </c>
      <c r="C115" t="s">
        <v>96</v>
      </c>
      <c r="D115" t="s">
        <v>26</v>
      </c>
      <c r="E115" t="s">
        <v>283</v>
      </c>
      <c r="F115" t="s">
        <v>52</v>
      </c>
      <c r="G115" s="33">
        <v>3660</v>
      </c>
      <c r="H115" s="34">
        <v>103.581</v>
      </c>
      <c r="I115" s="34">
        <v>103.562</v>
      </c>
      <c r="J115" s="35">
        <v>1.8346497750145282E-4</v>
      </c>
      <c r="K115" s="35">
        <v>2.5000000000000001E-3</v>
      </c>
      <c r="L115" s="36">
        <v>69.540000000019973</v>
      </c>
      <c r="M115" t="s">
        <v>573</v>
      </c>
      <c r="N115" t="s">
        <v>594</v>
      </c>
    </row>
    <row r="116" spans="1:14" x14ac:dyDescent="0.3">
      <c r="A116" t="s">
        <v>284</v>
      </c>
      <c r="B116" s="32">
        <v>46293</v>
      </c>
      <c r="C116" t="s">
        <v>43</v>
      </c>
      <c r="D116" t="s">
        <v>27</v>
      </c>
      <c r="E116" t="s">
        <v>285</v>
      </c>
      <c r="F116" t="s">
        <v>41</v>
      </c>
      <c r="G116" s="33">
        <v>2799264</v>
      </c>
      <c r="H116" s="34">
        <v>1.0553399999999999</v>
      </c>
      <c r="I116" s="34">
        <v>1.05474</v>
      </c>
      <c r="J116" s="35">
        <v>5.6886057227367303E-4</v>
      </c>
      <c r="K116" s="35">
        <v>3.0000000000000001E-3</v>
      </c>
      <c r="L116" s="36">
        <v>1679.558399999815</v>
      </c>
      <c r="M116" t="s">
        <v>573</v>
      </c>
      <c r="N116" t="s">
        <v>594</v>
      </c>
    </row>
    <row r="117" spans="1:14" x14ac:dyDescent="0.3">
      <c r="A117" t="s">
        <v>286</v>
      </c>
      <c r="B117" s="32">
        <v>46293</v>
      </c>
      <c r="C117" t="s">
        <v>96</v>
      </c>
      <c r="D117" t="s">
        <v>26</v>
      </c>
      <c r="E117" t="s">
        <v>287</v>
      </c>
      <c r="F117" t="s">
        <v>52</v>
      </c>
      <c r="G117" s="33">
        <v>13464</v>
      </c>
      <c r="H117" s="34">
        <v>102.206</v>
      </c>
      <c r="I117" s="34">
        <v>102.07599999999999</v>
      </c>
      <c r="J117" s="35">
        <v>1.2735608762099776E-3</v>
      </c>
      <c r="K117" s="35">
        <v>2.5000000000000001E-3</v>
      </c>
      <c r="L117" s="36">
        <v>1750.3200000001302</v>
      </c>
      <c r="M117" t="s">
        <v>573</v>
      </c>
      <c r="N117" t="s">
        <v>594</v>
      </c>
    </row>
    <row r="118" spans="1:14" x14ac:dyDescent="0.3">
      <c r="A118" t="s">
        <v>288</v>
      </c>
      <c r="B118" s="32">
        <v>46293</v>
      </c>
      <c r="C118" t="s">
        <v>46</v>
      </c>
      <c r="D118" t="s">
        <v>25</v>
      </c>
      <c r="E118" t="s">
        <v>289</v>
      </c>
      <c r="F118" t="s">
        <v>48</v>
      </c>
      <c r="G118" s="33">
        <v>14248</v>
      </c>
      <c r="H118" s="34">
        <v>99.77</v>
      </c>
      <c r="I118" s="34">
        <v>100.05500000000001</v>
      </c>
      <c r="J118" s="35">
        <v>-2.8484333616511995E-3</v>
      </c>
      <c r="K118" s="35">
        <v>5.0000000000000001E-3</v>
      </c>
      <c r="L118" s="36">
        <v>-4060.680000000154</v>
      </c>
      <c r="M118" t="s">
        <v>573</v>
      </c>
      <c r="N118" t="s">
        <v>594</v>
      </c>
    </row>
    <row r="119" spans="1:14" x14ac:dyDescent="0.3">
      <c r="A119" t="s">
        <v>290</v>
      </c>
      <c r="B119" s="32">
        <v>46293</v>
      </c>
      <c r="C119" t="s">
        <v>77</v>
      </c>
      <c r="D119" t="s">
        <v>26</v>
      </c>
      <c r="E119" t="s">
        <v>291</v>
      </c>
      <c r="F119" t="s">
        <v>48</v>
      </c>
      <c r="G119" s="33">
        <v>10440</v>
      </c>
      <c r="H119" s="34">
        <v>96.260999999999996</v>
      </c>
      <c r="I119" s="34">
        <v>96.180999999999997</v>
      </c>
      <c r="J119" s="35">
        <v>8.3176510953305021E-4</v>
      </c>
      <c r="K119" s="35">
        <v>2.5000000000000001E-3</v>
      </c>
      <c r="L119" s="36">
        <v>835.1999999999822</v>
      </c>
      <c r="M119" t="s">
        <v>573</v>
      </c>
      <c r="N119" t="s">
        <v>594</v>
      </c>
    </row>
    <row r="120" spans="1:14" x14ac:dyDescent="0.3">
      <c r="A120" t="s">
        <v>292</v>
      </c>
      <c r="B120" s="32">
        <v>46293</v>
      </c>
      <c r="C120" t="s">
        <v>96</v>
      </c>
      <c r="D120" t="s">
        <v>26</v>
      </c>
      <c r="E120" t="s">
        <v>293</v>
      </c>
      <c r="F120" t="s">
        <v>52</v>
      </c>
      <c r="G120" s="33">
        <v>19544</v>
      </c>
      <c r="H120" s="34">
        <v>102.37</v>
      </c>
      <c r="I120" s="34">
        <v>102.437</v>
      </c>
      <c r="J120" s="35">
        <v>-6.5406054452974089E-4</v>
      </c>
      <c r="K120" s="35">
        <v>2.5000000000000001E-3</v>
      </c>
      <c r="L120" s="36">
        <v>-1309.4479999998644</v>
      </c>
      <c r="M120" t="s">
        <v>573</v>
      </c>
      <c r="N120" t="s">
        <v>594</v>
      </c>
    </row>
    <row r="121" spans="1:14" x14ac:dyDescent="0.3">
      <c r="A121" t="s">
        <v>294</v>
      </c>
      <c r="B121" s="32">
        <v>46293</v>
      </c>
      <c r="C121" t="s">
        <v>46</v>
      </c>
      <c r="D121" t="s">
        <v>25</v>
      </c>
      <c r="E121" t="s">
        <v>295</v>
      </c>
      <c r="F121" t="s">
        <v>48</v>
      </c>
      <c r="G121" s="33">
        <v>4753</v>
      </c>
      <c r="H121" s="34">
        <v>94.685000000000002</v>
      </c>
      <c r="I121" s="34">
        <v>94.992999999999995</v>
      </c>
      <c r="J121" s="35">
        <v>-3.2423441727284404E-3</v>
      </c>
      <c r="K121" s="35">
        <v>5.0000000000000001E-3</v>
      </c>
      <c r="L121" s="36">
        <v>-1463.9239999999654</v>
      </c>
      <c r="M121" t="s">
        <v>573</v>
      </c>
      <c r="N121" t="s">
        <v>594</v>
      </c>
    </row>
    <row r="122" spans="1:14" x14ac:dyDescent="0.3">
      <c r="A122" t="s">
        <v>296</v>
      </c>
      <c r="B122" s="32">
        <v>46293</v>
      </c>
      <c r="C122" t="s">
        <v>60</v>
      </c>
      <c r="D122" t="s">
        <v>24</v>
      </c>
      <c r="E122" t="s">
        <v>297</v>
      </c>
      <c r="F122" t="s">
        <v>56</v>
      </c>
      <c r="G122" s="33">
        <v>16576</v>
      </c>
      <c r="H122" s="34">
        <v>127.73</v>
      </c>
      <c r="I122" s="34">
        <v>128.32</v>
      </c>
      <c r="J122" s="35">
        <v>-4.597880299251786E-3</v>
      </c>
      <c r="K122" s="35">
        <v>0.01</v>
      </c>
      <c r="L122" s="36">
        <v>-9779.8399999998219</v>
      </c>
      <c r="M122" t="s">
        <v>573</v>
      </c>
      <c r="N122" t="s">
        <v>594</v>
      </c>
    </row>
    <row r="123" spans="1:14" x14ac:dyDescent="0.3">
      <c r="A123" t="s">
        <v>298</v>
      </c>
      <c r="B123" s="32">
        <v>46293</v>
      </c>
      <c r="C123" t="s">
        <v>39</v>
      </c>
      <c r="D123" t="s">
        <v>24</v>
      </c>
      <c r="E123" t="s">
        <v>299</v>
      </c>
      <c r="F123" t="s">
        <v>41</v>
      </c>
      <c r="G123" s="33">
        <v>10438</v>
      </c>
      <c r="H123" s="34">
        <v>266.64</v>
      </c>
      <c r="I123" s="34">
        <v>265.70999999999998</v>
      </c>
      <c r="J123" s="35">
        <v>3.5000564525234537E-3</v>
      </c>
      <c r="K123" s="35">
        <v>0.01</v>
      </c>
      <c r="L123" s="36">
        <v>9707.3400000000711</v>
      </c>
      <c r="M123" t="s">
        <v>573</v>
      </c>
      <c r="N123" t="s">
        <v>594</v>
      </c>
    </row>
    <row r="124" spans="1:14" x14ac:dyDescent="0.3">
      <c r="A124" t="s">
        <v>300</v>
      </c>
      <c r="B124" s="32">
        <v>46293</v>
      </c>
      <c r="C124" t="s">
        <v>96</v>
      </c>
      <c r="D124" t="s">
        <v>26</v>
      </c>
      <c r="E124" t="s">
        <v>301</v>
      </c>
      <c r="F124" t="s">
        <v>52</v>
      </c>
      <c r="G124" s="33">
        <v>8874</v>
      </c>
      <c r="H124" s="34">
        <v>97.930999999999997</v>
      </c>
      <c r="I124" s="34">
        <v>98.034999999999997</v>
      </c>
      <c r="J124" s="35">
        <v>-1.0608456163614954E-3</v>
      </c>
      <c r="K124" s="35">
        <v>2.5000000000000001E-3</v>
      </c>
      <c r="L124" s="36">
        <v>-922.89599999999291</v>
      </c>
      <c r="M124" t="s">
        <v>573</v>
      </c>
      <c r="N124" t="s">
        <v>594</v>
      </c>
    </row>
    <row r="125" spans="1:14" x14ac:dyDescent="0.3">
      <c r="A125" t="s">
        <v>302</v>
      </c>
      <c r="B125" s="32">
        <v>46290</v>
      </c>
      <c r="C125" t="s">
        <v>96</v>
      </c>
      <c r="D125" t="s">
        <v>26</v>
      </c>
      <c r="E125" t="s">
        <v>303</v>
      </c>
      <c r="F125" t="s">
        <v>52</v>
      </c>
      <c r="G125" s="33">
        <v>2786</v>
      </c>
      <c r="H125" s="34">
        <v>98.194000000000003</v>
      </c>
      <c r="I125" s="34">
        <v>98.179000000000002</v>
      </c>
      <c r="J125" s="35">
        <v>1.5278216319172702E-4</v>
      </c>
      <c r="K125" s="35">
        <v>2.5000000000000001E-3</v>
      </c>
      <c r="L125" s="36">
        <v>41.790000000001584</v>
      </c>
      <c r="M125" t="s">
        <v>573</v>
      </c>
      <c r="N125" t="s">
        <v>598</v>
      </c>
    </row>
    <row r="126" spans="1:14" x14ac:dyDescent="0.3">
      <c r="A126" t="s">
        <v>304</v>
      </c>
      <c r="B126" s="32">
        <v>46293</v>
      </c>
      <c r="C126" t="s">
        <v>46</v>
      </c>
      <c r="D126" t="s">
        <v>25</v>
      </c>
      <c r="E126" t="s">
        <v>305</v>
      </c>
      <c r="F126" t="s">
        <v>48</v>
      </c>
      <c r="G126" s="33">
        <v>14730</v>
      </c>
      <c r="H126" s="34">
        <v>104.056</v>
      </c>
      <c r="I126" s="34">
        <v>103.66800000000001</v>
      </c>
      <c r="J126" s="35">
        <v>3.7427171354708394E-3</v>
      </c>
      <c r="K126" s="35">
        <v>5.0000000000000001E-3</v>
      </c>
      <c r="L126" s="36">
        <v>5715.2399999998679</v>
      </c>
      <c r="M126" t="s">
        <v>573</v>
      </c>
      <c r="N126" t="s">
        <v>594</v>
      </c>
    </row>
    <row r="127" spans="1:14" x14ac:dyDescent="0.3">
      <c r="A127" t="s">
        <v>306</v>
      </c>
      <c r="B127" s="32">
        <v>46293</v>
      </c>
      <c r="C127" t="s">
        <v>54</v>
      </c>
      <c r="D127" t="s">
        <v>27</v>
      </c>
      <c r="E127" t="s">
        <v>307</v>
      </c>
      <c r="F127" t="s">
        <v>56</v>
      </c>
      <c r="G127" s="33">
        <v>2510709</v>
      </c>
      <c r="H127" s="34">
        <v>1.21746</v>
      </c>
      <c r="I127" s="34">
        <v>1.2172000000000001</v>
      </c>
      <c r="J127" s="35">
        <v>2.1360499507059393E-4</v>
      </c>
      <c r="K127" s="35">
        <v>3.0000000000000001E-3</v>
      </c>
      <c r="L127" s="36">
        <v>652.78433999981655</v>
      </c>
      <c r="M127" t="s">
        <v>573</v>
      </c>
      <c r="N127" t="s">
        <v>594</v>
      </c>
    </row>
    <row r="128" spans="1:14" x14ac:dyDescent="0.3">
      <c r="A128" t="s">
        <v>308</v>
      </c>
      <c r="B128" s="32">
        <v>46293</v>
      </c>
      <c r="C128" t="s">
        <v>46</v>
      </c>
      <c r="D128" t="s">
        <v>25</v>
      </c>
      <c r="E128" t="s">
        <v>309</v>
      </c>
      <c r="F128" t="s">
        <v>48</v>
      </c>
      <c r="G128" s="33">
        <v>19893</v>
      </c>
      <c r="H128" s="34">
        <v>101.699</v>
      </c>
      <c r="I128" s="34">
        <v>101.95</v>
      </c>
      <c r="J128" s="35">
        <v>-2.4619911721432543E-3</v>
      </c>
      <c r="K128" s="35">
        <v>5.0000000000000001E-3</v>
      </c>
      <c r="L128" s="36">
        <v>-4993.1430000000946</v>
      </c>
      <c r="M128" t="s">
        <v>573</v>
      </c>
      <c r="N128" t="s">
        <v>594</v>
      </c>
    </row>
    <row r="129" spans="1:14" x14ac:dyDescent="0.3">
      <c r="A129" t="s">
        <v>310</v>
      </c>
      <c r="B129" s="32">
        <v>46293</v>
      </c>
      <c r="C129" t="s">
        <v>60</v>
      </c>
      <c r="D129" t="s">
        <v>24</v>
      </c>
      <c r="E129" t="s">
        <v>311</v>
      </c>
      <c r="F129" t="s">
        <v>56</v>
      </c>
      <c r="G129" s="33">
        <v>10759</v>
      </c>
      <c r="H129" s="34">
        <v>126.44</v>
      </c>
      <c r="I129" s="34">
        <v>127.6</v>
      </c>
      <c r="J129" s="35">
        <v>-9.0909090909090644E-3</v>
      </c>
      <c r="K129" s="35">
        <v>0.01</v>
      </c>
      <c r="L129" s="36">
        <v>-12480.439999999964</v>
      </c>
      <c r="M129" t="s">
        <v>573</v>
      </c>
      <c r="N129" t="s">
        <v>594</v>
      </c>
    </row>
    <row r="130" spans="1:14" x14ac:dyDescent="0.3">
      <c r="A130" t="s">
        <v>312</v>
      </c>
      <c r="B130" s="32">
        <v>46293</v>
      </c>
      <c r="C130" t="s">
        <v>60</v>
      </c>
      <c r="D130" t="s">
        <v>24</v>
      </c>
      <c r="E130" t="s">
        <v>313</v>
      </c>
      <c r="F130" t="s">
        <v>56</v>
      </c>
      <c r="G130" s="33">
        <v>22398</v>
      </c>
      <c r="H130" s="34">
        <v>215.48</v>
      </c>
      <c r="I130" s="34">
        <v>216.53</v>
      </c>
      <c r="J130" s="35">
        <v>-4.8492125802429746E-3</v>
      </c>
      <c r="K130" s="35">
        <v>0.01</v>
      </c>
      <c r="L130" s="36">
        <v>-23517.900000000256</v>
      </c>
      <c r="M130" t="s">
        <v>573</v>
      </c>
      <c r="N130" t="s">
        <v>594</v>
      </c>
    </row>
    <row r="131" spans="1:14" x14ac:dyDescent="0.3">
      <c r="A131" t="s">
        <v>314</v>
      </c>
      <c r="B131" s="32">
        <v>46293</v>
      </c>
      <c r="C131" t="s">
        <v>60</v>
      </c>
      <c r="D131" t="s">
        <v>24</v>
      </c>
      <c r="E131" t="s">
        <v>315</v>
      </c>
      <c r="F131" t="s">
        <v>56</v>
      </c>
      <c r="G131" s="33">
        <v>10999</v>
      </c>
      <c r="H131" s="34">
        <v>291.32</v>
      </c>
      <c r="I131" s="34"/>
      <c r="J131" s="35"/>
      <c r="K131" s="35">
        <v>0.01</v>
      </c>
      <c r="L131" s="36"/>
      <c r="M131" t="s">
        <v>596</v>
      </c>
      <c r="N131" t="s">
        <v>594</v>
      </c>
    </row>
    <row r="132" spans="1:14" x14ac:dyDescent="0.3">
      <c r="A132" t="s">
        <v>316</v>
      </c>
      <c r="B132" s="32">
        <v>46293</v>
      </c>
      <c r="C132" t="s">
        <v>77</v>
      </c>
      <c r="D132" t="s">
        <v>26</v>
      </c>
      <c r="E132" t="s">
        <v>317</v>
      </c>
      <c r="F132" t="s">
        <v>48</v>
      </c>
      <c r="G132" s="33">
        <v>14488</v>
      </c>
      <c r="H132" s="34">
        <v>98.567999999999998</v>
      </c>
      <c r="I132" s="34">
        <v>98.522000000000006</v>
      </c>
      <c r="J132" s="35">
        <v>4.6690079373127083E-4</v>
      </c>
      <c r="K132" s="35">
        <v>2.5000000000000001E-3</v>
      </c>
      <c r="L132" s="36">
        <v>666.447999999888</v>
      </c>
      <c r="M132" t="s">
        <v>573</v>
      </c>
      <c r="N132" t="s">
        <v>594</v>
      </c>
    </row>
    <row r="133" spans="1:14" x14ac:dyDescent="0.3">
      <c r="A133" t="s">
        <v>318</v>
      </c>
      <c r="B133" s="32">
        <v>46293</v>
      </c>
      <c r="C133" t="s">
        <v>77</v>
      </c>
      <c r="D133" t="s">
        <v>26</v>
      </c>
      <c r="E133" t="s">
        <v>319</v>
      </c>
      <c r="F133" t="s">
        <v>48</v>
      </c>
      <c r="G133" s="33">
        <v>9794</v>
      </c>
      <c r="H133" s="34">
        <v>102.60599999999999</v>
      </c>
      <c r="I133" s="34">
        <v>102.69199999999999</v>
      </c>
      <c r="J133" s="35">
        <v>-8.3745569275112499E-4</v>
      </c>
      <c r="K133" s="35">
        <v>2.5000000000000001E-3</v>
      </c>
      <c r="L133" s="36">
        <v>-842.28399999998555</v>
      </c>
      <c r="M133" t="s">
        <v>573</v>
      </c>
      <c r="N133" t="s">
        <v>594</v>
      </c>
    </row>
    <row r="134" spans="1:14" x14ac:dyDescent="0.3">
      <c r="A134" t="s">
        <v>320</v>
      </c>
      <c r="B134" s="32">
        <v>46293</v>
      </c>
      <c r="C134" t="s">
        <v>77</v>
      </c>
      <c r="D134" t="s">
        <v>26</v>
      </c>
      <c r="E134" t="s">
        <v>321</v>
      </c>
      <c r="F134" t="s">
        <v>48</v>
      </c>
      <c r="G134" s="33">
        <v>8501</v>
      </c>
      <c r="H134" s="34">
        <v>96.206999999999994</v>
      </c>
      <c r="I134" s="34">
        <v>96.182000000000002</v>
      </c>
      <c r="J134" s="35">
        <v>2.5992389428366504E-4</v>
      </c>
      <c r="K134" s="35">
        <v>2.5000000000000001E-3</v>
      </c>
      <c r="L134" s="36">
        <v>212.5249999999275</v>
      </c>
      <c r="M134" t="s">
        <v>573</v>
      </c>
      <c r="N134" t="s">
        <v>594</v>
      </c>
    </row>
    <row r="135" spans="1:14" x14ac:dyDescent="0.3">
      <c r="A135" t="s">
        <v>322</v>
      </c>
      <c r="B135" s="32">
        <v>46293</v>
      </c>
      <c r="C135" t="s">
        <v>39</v>
      </c>
      <c r="D135" t="s">
        <v>24</v>
      </c>
      <c r="E135" t="s">
        <v>323</v>
      </c>
      <c r="F135" t="s">
        <v>41</v>
      </c>
      <c r="G135" s="33">
        <v>42924</v>
      </c>
      <c r="H135" s="34">
        <v>135.11000000000001</v>
      </c>
      <c r="I135" s="34">
        <v>134.96</v>
      </c>
      <c r="J135" s="35">
        <v>1.1114404267931659E-3</v>
      </c>
      <c r="K135" s="35">
        <v>0.01</v>
      </c>
      <c r="L135" s="36">
        <v>6438.6000000002441</v>
      </c>
      <c r="M135" t="s">
        <v>573</v>
      </c>
      <c r="N135" t="s">
        <v>594</v>
      </c>
    </row>
    <row r="136" spans="1:14" x14ac:dyDescent="0.3">
      <c r="A136" t="s">
        <v>324</v>
      </c>
      <c r="B136" s="32">
        <v>46293</v>
      </c>
      <c r="C136" t="s">
        <v>60</v>
      </c>
      <c r="D136" t="s">
        <v>24</v>
      </c>
      <c r="E136" t="s">
        <v>325</v>
      </c>
      <c r="F136" t="s">
        <v>56</v>
      </c>
      <c r="G136" s="33">
        <v>4901</v>
      </c>
      <c r="H136" s="34">
        <v>148.32</v>
      </c>
      <c r="I136" s="34">
        <v>145.88999999999999</v>
      </c>
      <c r="J136" s="35">
        <v>1.6656384947563281E-2</v>
      </c>
      <c r="K136" s="35">
        <v>0.01</v>
      </c>
      <c r="L136" s="36">
        <v>11909.430000000033</v>
      </c>
      <c r="M136" t="s">
        <v>595</v>
      </c>
      <c r="N136" t="s">
        <v>594</v>
      </c>
    </row>
    <row r="137" spans="1:14" x14ac:dyDescent="0.3">
      <c r="A137" t="s">
        <v>326</v>
      </c>
      <c r="B137" s="32">
        <v>46293</v>
      </c>
      <c r="C137" t="s">
        <v>54</v>
      </c>
      <c r="D137" t="s">
        <v>27</v>
      </c>
      <c r="E137" t="s">
        <v>327</v>
      </c>
      <c r="F137" t="s">
        <v>56</v>
      </c>
      <c r="G137" s="33">
        <v>2609487</v>
      </c>
      <c r="H137" s="34">
        <v>0.67386000000000001</v>
      </c>
      <c r="I137" s="34">
        <v>0.67105000000000004</v>
      </c>
      <c r="J137" s="35">
        <v>4.187467401832917E-3</v>
      </c>
      <c r="K137" s="35">
        <v>3.0000000000000001E-3</v>
      </c>
      <c r="L137" s="36">
        <v>7332.6584699999457</v>
      </c>
      <c r="M137" t="s">
        <v>595</v>
      </c>
      <c r="N137" t="s">
        <v>594</v>
      </c>
    </row>
    <row r="138" spans="1:14" x14ac:dyDescent="0.3">
      <c r="A138" t="s">
        <v>328</v>
      </c>
      <c r="B138" s="32">
        <v>46293</v>
      </c>
      <c r="C138" t="s">
        <v>60</v>
      </c>
      <c r="D138" t="s">
        <v>24</v>
      </c>
      <c r="E138" t="s">
        <v>329</v>
      </c>
      <c r="F138" t="s">
        <v>56</v>
      </c>
      <c r="G138" s="33">
        <v>16143</v>
      </c>
      <c r="H138" s="34">
        <v>169.56</v>
      </c>
      <c r="I138" s="34">
        <v>169.86</v>
      </c>
      <c r="J138" s="35">
        <v>-1.7661603673614231E-3</v>
      </c>
      <c r="K138" s="35">
        <v>0.01</v>
      </c>
      <c r="L138" s="36">
        <v>-4842.9000000001834</v>
      </c>
      <c r="M138" t="s">
        <v>573</v>
      </c>
      <c r="N138" t="s">
        <v>594</v>
      </c>
    </row>
    <row r="139" spans="1:14" x14ac:dyDescent="0.3">
      <c r="A139" t="s">
        <v>330</v>
      </c>
      <c r="B139" s="32">
        <v>46293</v>
      </c>
      <c r="C139" t="s">
        <v>50</v>
      </c>
      <c r="D139" t="s">
        <v>25</v>
      </c>
      <c r="E139" t="s">
        <v>331</v>
      </c>
      <c r="F139" t="s">
        <v>52</v>
      </c>
      <c r="G139" s="33">
        <v>4542</v>
      </c>
      <c r="H139" s="34">
        <v>104.598</v>
      </c>
      <c r="I139" s="34">
        <v>104.959</v>
      </c>
      <c r="J139" s="35">
        <v>-3.4394382568431882E-3</v>
      </c>
      <c r="K139" s="35">
        <v>5.0000000000000001E-3</v>
      </c>
      <c r="L139" s="36">
        <v>-1639.6620000000191</v>
      </c>
      <c r="M139" t="s">
        <v>573</v>
      </c>
      <c r="N139" t="s">
        <v>594</v>
      </c>
    </row>
    <row r="140" spans="1:14" x14ac:dyDescent="0.3">
      <c r="A140" t="s">
        <v>332</v>
      </c>
      <c r="B140" s="32">
        <v>46293</v>
      </c>
      <c r="C140" t="s">
        <v>50</v>
      </c>
      <c r="D140" t="s">
        <v>25</v>
      </c>
      <c r="E140" t="s">
        <v>333</v>
      </c>
      <c r="F140" t="s">
        <v>52</v>
      </c>
      <c r="G140" s="33">
        <v>9396</v>
      </c>
      <c r="H140" s="34">
        <v>99.441000000000003</v>
      </c>
      <c r="I140" s="34">
        <v>99.161000000000001</v>
      </c>
      <c r="J140" s="35">
        <v>2.823690765522747E-3</v>
      </c>
      <c r="K140" s="35">
        <v>5.0000000000000001E-3</v>
      </c>
      <c r="L140" s="36">
        <v>2630.8800000000106</v>
      </c>
      <c r="M140" t="s">
        <v>573</v>
      </c>
      <c r="N140" t="s">
        <v>594</v>
      </c>
    </row>
    <row r="141" spans="1:14" x14ac:dyDescent="0.3">
      <c r="A141" t="s">
        <v>334</v>
      </c>
      <c r="B141" s="32">
        <v>46293</v>
      </c>
      <c r="C141" t="s">
        <v>77</v>
      </c>
      <c r="D141" t="s">
        <v>26</v>
      </c>
      <c r="E141" t="s">
        <v>335</v>
      </c>
      <c r="F141" t="s">
        <v>48</v>
      </c>
      <c r="G141" s="33">
        <v>14764</v>
      </c>
      <c r="H141" s="34">
        <v>96.100999999999999</v>
      </c>
      <c r="I141" s="34">
        <v>96.061000000000007</v>
      </c>
      <c r="J141" s="35">
        <v>4.1640207784628559E-4</v>
      </c>
      <c r="K141" s="35">
        <v>2.5000000000000001E-3</v>
      </c>
      <c r="L141" s="36">
        <v>590.55999999988251</v>
      </c>
      <c r="M141" t="s">
        <v>573</v>
      </c>
      <c r="N141" t="s">
        <v>594</v>
      </c>
    </row>
    <row r="142" spans="1:14" x14ac:dyDescent="0.3">
      <c r="A142" t="s">
        <v>336</v>
      </c>
      <c r="B142" s="32">
        <v>46293</v>
      </c>
      <c r="C142" t="s">
        <v>46</v>
      </c>
      <c r="D142" t="s">
        <v>25</v>
      </c>
      <c r="E142" t="s">
        <v>337</v>
      </c>
      <c r="F142" t="s">
        <v>48</v>
      </c>
      <c r="G142" s="33">
        <v>16083</v>
      </c>
      <c r="H142" s="34">
        <v>105.955</v>
      </c>
      <c r="I142" s="34">
        <v>105.837</v>
      </c>
      <c r="J142" s="35">
        <v>1.1149220027022212E-3</v>
      </c>
      <c r="K142" s="35">
        <v>5.0000000000000001E-3</v>
      </c>
      <c r="L142" s="36">
        <v>1897.7939999999196</v>
      </c>
      <c r="M142" t="s">
        <v>573</v>
      </c>
      <c r="N142" t="s">
        <v>594</v>
      </c>
    </row>
    <row r="143" spans="1:14" x14ac:dyDescent="0.3">
      <c r="A143" t="s">
        <v>338</v>
      </c>
      <c r="B143" s="32">
        <v>46293</v>
      </c>
      <c r="C143" t="s">
        <v>96</v>
      </c>
      <c r="D143" t="s">
        <v>26</v>
      </c>
      <c r="E143" t="s">
        <v>339</v>
      </c>
      <c r="F143" t="s">
        <v>52</v>
      </c>
      <c r="G143" s="33">
        <v>9465</v>
      </c>
      <c r="H143" s="34">
        <v>98.838999999999999</v>
      </c>
      <c r="I143" s="34">
        <v>98.835999999999999</v>
      </c>
      <c r="J143" s="35">
        <v>3.0353312558178333E-5</v>
      </c>
      <c r="K143" s="35">
        <v>2.5000000000000001E-3</v>
      </c>
      <c r="L143" s="36">
        <v>28.395000000001076</v>
      </c>
      <c r="M143" t="s">
        <v>573</v>
      </c>
      <c r="N143" t="s">
        <v>594</v>
      </c>
    </row>
    <row r="144" spans="1:14" x14ac:dyDescent="0.3">
      <c r="A144" t="s">
        <v>340</v>
      </c>
      <c r="B144" s="32">
        <v>46293</v>
      </c>
      <c r="C144" t="s">
        <v>96</v>
      </c>
      <c r="D144" t="s">
        <v>26</v>
      </c>
      <c r="E144" t="s">
        <v>342</v>
      </c>
      <c r="F144" t="s">
        <v>52</v>
      </c>
      <c r="G144" s="33">
        <v>2756</v>
      </c>
      <c r="H144" s="34">
        <v>102.577</v>
      </c>
      <c r="I144" s="34">
        <v>102.61</v>
      </c>
      <c r="J144" s="35">
        <v>-3.2160608127864001E-4</v>
      </c>
      <c r="K144" s="35">
        <v>2.5000000000000001E-3</v>
      </c>
      <c r="L144" s="36">
        <v>-90.948000000003447</v>
      </c>
      <c r="M144" t="s">
        <v>573</v>
      </c>
      <c r="N144" t="s">
        <v>594</v>
      </c>
    </row>
    <row r="145" spans="1:14" x14ac:dyDescent="0.3">
      <c r="A145" t="s">
        <v>343</v>
      </c>
      <c r="B145" s="32">
        <v>46293</v>
      </c>
      <c r="C145" t="s">
        <v>50</v>
      </c>
      <c r="D145" t="s">
        <v>25</v>
      </c>
      <c r="E145" t="s">
        <v>345</v>
      </c>
      <c r="F145" t="s">
        <v>52</v>
      </c>
      <c r="G145" s="33">
        <v>2514</v>
      </c>
      <c r="H145" s="34">
        <v>94.358000000000004</v>
      </c>
      <c r="I145" s="34">
        <v>94.712000000000003</v>
      </c>
      <c r="J145" s="35">
        <v>-3.7376467607061321E-3</v>
      </c>
      <c r="K145" s="35">
        <v>5.0000000000000001E-3</v>
      </c>
      <c r="L145" s="36">
        <v>-889.95599999999797</v>
      </c>
      <c r="M145" t="s">
        <v>573</v>
      </c>
      <c r="N145" t="s">
        <v>594</v>
      </c>
    </row>
    <row r="146" spans="1:14" x14ac:dyDescent="0.3">
      <c r="A146" t="s">
        <v>346</v>
      </c>
      <c r="B146" s="32">
        <v>46293</v>
      </c>
      <c r="C146" t="s">
        <v>39</v>
      </c>
      <c r="D146" t="s">
        <v>24</v>
      </c>
      <c r="E146" t="s">
        <v>347</v>
      </c>
      <c r="F146" t="s">
        <v>41</v>
      </c>
      <c r="G146" s="33">
        <v>14108</v>
      </c>
      <c r="H146" s="34">
        <v>155.97999999999999</v>
      </c>
      <c r="I146" s="34">
        <v>156.66</v>
      </c>
      <c r="J146" s="35">
        <v>-4.3406102387336066E-3</v>
      </c>
      <c r="K146" s="35">
        <v>0.01</v>
      </c>
      <c r="L146" s="36">
        <v>-9593.4400000000969</v>
      </c>
      <c r="M146" t="s">
        <v>573</v>
      </c>
      <c r="N146" t="s">
        <v>594</v>
      </c>
    </row>
    <row r="147" spans="1:14" x14ac:dyDescent="0.3">
      <c r="A147" t="s">
        <v>348</v>
      </c>
      <c r="B147" s="32">
        <v>46293</v>
      </c>
      <c r="C147" t="s">
        <v>77</v>
      </c>
      <c r="D147" t="s">
        <v>26</v>
      </c>
      <c r="E147" t="s">
        <v>349</v>
      </c>
      <c r="F147" t="s">
        <v>48</v>
      </c>
      <c r="G147" s="33">
        <v>2683</v>
      </c>
      <c r="H147" s="34">
        <v>99.754999999999995</v>
      </c>
      <c r="I147" s="34">
        <v>99.813999999999993</v>
      </c>
      <c r="J147" s="35">
        <v>-5.9109944496761482E-4</v>
      </c>
      <c r="K147" s="35">
        <v>2.5000000000000001E-3</v>
      </c>
      <c r="L147" s="36">
        <v>-158.29699999999329</v>
      </c>
      <c r="M147" t="s">
        <v>573</v>
      </c>
      <c r="N147" t="s">
        <v>594</v>
      </c>
    </row>
    <row r="148" spans="1:14" x14ac:dyDescent="0.3">
      <c r="A148" t="s">
        <v>350</v>
      </c>
      <c r="B148" s="32">
        <v>46293</v>
      </c>
      <c r="C148" t="s">
        <v>43</v>
      </c>
      <c r="D148" t="s">
        <v>27</v>
      </c>
      <c r="E148" t="s">
        <v>351</v>
      </c>
      <c r="F148" t="s">
        <v>41</v>
      </c>
      <c r="G148" s="33">
        <v>2030372</v>
      </c>
      <c r="H148" s="34">
        <v>1.4328399999999999</v>
      </c>
      <c r="I148" s="34">
        <v>1.4298</v>
      </c>
      <c r="J148" s="35">
        <v>2.126171492516388E-3</v>
      </c>
      <c r="K148" s="35">
        <v>3.0000000000000001E-3</v>
      </c>
      <c r="L148" s="36">
        <v>6172.3308799998613</v>
      </c>
      <c r="M148" t="s">
        <v>573</v>
      </c>
      <c r="N148" t="s">
        <v>594</v>
      </c>
    </row>
    <row r="149" spans="1:14" x14ac:dyDescent="0.3">
      <c r="A149" t="s">
        <v>352</v>
      </c>
      <c r="B149" s="32">
        <v>46293</v>
      </c>
      <c r="C149" t="s">
        <v>60</v>
      </c>
      <c r="D149" t="s">
        <v>24</v>
      </c>
      <c r="E149" t="s">
        <v>353</v>
      </c>
      <c r="F149" t="s">
        <v>56</v>
      </c>
      <c r="G149" s="33">
        <v>8780</v>
      </c>
      <c r="H149" s="34">
        <v>161.65</v>
      </c>
      <c r="I149" s="34"/>
      <c r="J149" s="35"/>
      <c r="K149" s="35">
        <v>0.01</v>
      </c>
      <c r="L149" s="36"/>
      <c r="M149" t="s">
        <v>596</v>
      </c>
      <c r="N149" t="s">
        <v>594</v>
      </c>
    </row>
    <row r="150" spans="1:14" x14ac:dyDescent="0.3">
      <c r="A150" t="s">
        <v>354</v>
      </c>
      <c r="B150" s="32">
        <v>46293</v>
      </c>
      <c r="C150" t="s">
        <v>77</v>
      </c>
      <c r="D150" t="s">
        <v>26</v>
      </c>
      <c r="E150" t="s">
        <v>355</v>
      </c>
      <c r="F150" t="s">
        <v>48</v>
      </c>
      <c r="G150" s="33">
        <v>11339</v>
      </c>
      <c r="H150" s="34">
        <v>98.453000000000003</v>
      </c>
      <c r="I150" s="34">
        <v>98.433999999999997</v>
      </c>
      <c r="J150" s="35">
        <v>1.9302273604654345E-4</v>
      </c>
      <c r="K150" s="35">
        <v>2.5000000000000001E-3</v>
      </c>
      <c r="L150" s="36">
        <v>215.44100000006188</v>
      </c>
      <c r="M150" t="s">
        <v>573</v>
      </c>
      <c r="N150" t="s">
        <v>594</v>
      </c>
    </row>
    <row r="151" spans="1:14" x14ac:dyDescent="0.3">
      <c r="A151" t="s">
        <v>356</v>
      </c>
      <c r="B151" s="32">
        <v>46293</v>
      </c>
      <c r="C151" t="s">
        <v>46</v>
      </c>
      <c r="D151" t="s">
        <v>25</v>
      </c>
      <c r="E151" t="s">
        <v>357</v>
      </c>
      <c r="F151" t="s">
        <v>48</v>
      </c>
      <c r="G151" s="33">
        <v>10362</v>
      </c>
      <c r="H151" s="34">
        <v>93.24</v>
      </c>
      <c r="I151" s="34">
        <v>93.284000000000006</v>
      </c>
      <c r="J151" s="35">
        <v>-4.7167788688318618E-4</v>
      </c>
      <c r="K151" s="35">
        <v>5.0000000000000001E-3</v>
      </c>
      <c r="L151" s="36">
        <v>-455.92800000011545</v>
      </c>
      <c r="M151" t="s">
        <v>573</v>
      </c>
      <c r="N151" t="s">
        <v>594</v>
      </c>
    </row>
    <row r="152" spans="1:14" x14ac:dyDescent="0.3">
      <c r="A152" t="s">
        <v>358</v>
      </c>
      <c r="B152" s="32">
        <v>46293</v>
      </c>
      <c r="C152" t="s">
        <v>60</v>
      </c>
      <c r="D152" t="s">
        <v>24</v>
      </c>
      <c r="E152" t="s">
        <v>359</v>
      </c>
      <c r="F152" t="s">
        <v>56</v>
      </c>
      <c r="G152" s="33">
        <v>27766</v>
      </c>
      <c r="H152" s="34">
        <v>241.78</v>
      </c>
      <c r="I152" s="34">
        <v>241.61</v>
      </c>
      <c r="J152" s="35">
        <v>7.0361326104046806E-4</v>
      </c>
      <c r="K152" s="35">
        <v>0.01</v>
      </c>
      <c r="L152" s="36">
        <v>4720.2199999996528</v>
      </c>
      <c r="M152" t="s">
        <v>573</v>
      </c>
      <c r="N152" t="s">
        <v>594</v>
      </c>
    </row>
    <row r="153" spans="1:14" x14ac:dyDescent="0.3">
      <c r="A153" t="s">
        <v>360</v>
      </c>
      <c r="B153" s="32">
        <v>46293</v>
      </c>
      <c r="C153" t="s">
        <v>54</v>
      </c>
      <c r="D153" t="s">
        <v>27</v>
      </c>
      <c r="E153" t="s">
        <v>361</v>
      </c>
      <c r="F153" t="s">
        <v>56</v>
      </c>
      <c r="G153" s="33">
        <v>2120226</v>
      </c>
      <c r="H153" s="34">
        <v>0.76998</v>
      </c>
      <c r="I153" s="34">
        <v>0.76793</v>
      </c>
      <c r="J153" s="35">
        <v>2.6695141484249819E-3</v>
      </c>
      <c r="K153" s="35">
        <v>3.0000000000000001E-3</v>
      </c>
      <c r="L153" s="36">
        <v>4346.4632999999922</v>
      </c>
      <c r="M153" t="s">
        <v>573</v>
      </c>
      <c r="N153" t="s">
        <v>594</v>
      </c>
    </row>
    <row r="154" spans="1:14" x14ac:dyDescent="0.3">
      <c r="A154" t="s">
        <v>362</v>
      </c>
      <c r="B154" s="32">
        <v>46293</v>
      </c>
      <c r="C154" t="s">
        <v>60</v>
      </c>
      <c r="D154" t="s">
        <v>24</v>
      </c>
      <c r="E154" t="s">
        <v>363</v>
      </c>
      <c r="F154" t="s">
        <v>56</v>
      </c>
      <c r="G154" s="33">
        <v>26248</v>
      </c>
      <c r="H154" s="34">
        <v>219.63</v>
      </c>
      <c r="I154" s="34">
        <v>220.46</v>
      </c>
      <c r="J154" s="35">
        <v>-3.7648553025492718E-3</v>
      </c>
      <c r="K154" s="35">
        <v>0.01</v>
      </c>
      <c r="L154" s="36">
        <v>-21785.840000000328</v>
      </c>
      <c r="M154" t="s">
        <v>573</v>
      </c>
      <c r="N154" t="s">
        <v>594</v>
      </c>
    </row>
    <row r="155" spans="1:14" x14ac:dyDescent="0.3">
      <c r="A155" t="s">
        <v>364</v>
      </c>
      <c r="B155" s="32">
        <v>46293</v>
      </c>
      <c r="C155" t="s">
        <v>96</v>
      </c>
      <c r="D155" t="s">
        <v>26</v>
      </c>
      <c r="E155" t="s">
        <v>365</v>
      </c>
      <c r="F155" t="s">
        <v>52</v>
      </c>
      <c r="G155" s="33">
        <v>10882</v>
      </c>
      <c r="H155" s="34">
        <v>100.73699999999999</v>
      </c>
      <c r="I155" s="34"/>
      <c r="J155" s="35"/>
      <c r="K155" s="35">
        <v>2.5000000000000001E-3</v>
      </c>
      <c r="L155" s="36"/>
      <c r="M155" t="s">
        <v>596</v>
      </c>
      <c r="N155" t="s">
        <v>594</v>
      </c>
    </row>
    <row r="156" spans="1:14" x14ac:dyDescent="0.3">
      <c r="A156" t="s">
        <v>366</v>
      </c>
      <c r="B156" s="32">
        <v>46293</v>
      </c>
      <c r="C156" t="s">
        <v>50</v>
      </c>
      <c r="D156" t="s">
        <v>25</v>
      </c>
      <c r="E156" t="s">
        <v>367</v>
      </c>
      <c r="F156" t="s">
        <v>52</v>
      </c>
      <c r="G156" s="33">
        <v>10861</v>
      </c>
      <c r="H156" s="34">
        <v>101.848</v>
      </c>
      <c r="I156" s="34">
        <v>101.904</v>
      </c>
      <c r="J156" s="35">
        <v>-5.4953681896684518E-4</v>
      </c>
      <c r="K156" s="35">
        <v>5.0000000000000001E-3</v>
      </c>
      <c r="L156" s="36">
        <v>-608.21599999997159</v>
      </c>
      <c r="M156" t="s">
        <v>573</v>
      </c>
      <c r="N156" t="s">
        <v>594</v>
      </c>
    </row>
    <row r="157" spans="1:14" x14ac:dyDescent="0.3">
      <c r="A157" t="s">
        <v>368</v>
      </c>
      <c r="B157" s="32">
        <v>46293</v>
      </c>
      <c r="C157" t="s">
        <v>54</v>
      </c>
      <c r="D157" t="s">
        <v>27</v>
      </c>
      <c r="E157" t="s">
        <v>369</v>
      </c>
      <c r="F157" t="s">
        <v>56</v>
      </c>
      <c r="G157" s="33">
        <v>3740416</v>
      </c>
      <c r="H157" s="34">
        <v>1.34677</v>
      </c>
      <c r="I157" s="34">
        <v>1.34372</v>
      </c>
      <c r="J157" s="35">
        <v>2.2698181168695837E-3</v>
      </c>
      <c r="K157" s="35">
        <v>3.0000000000000001E-3</v>
      </c>
      <c r="L157" s="36">
        <v>11408.268799999989</v>
      </c>
      <c r="M157" t="s">
        <v>573</v>
      </c>
      <c r="N157" t="s">
        <v>594</v>
      </c>
    </row>
    <row r="158" spans="1:14" x14ac:dyDescent="0.3">
      <c r="A158" t="s">
        <v>370</v>
      </c>
      <c r="B158" s="32">
        <v>46293</v>
      </c>
      <c r="C158" t="s">
        <v>77</v>
      </c>
      <c r="D158" t="s">
        <v>26</v>
      </c>
      <c r="E158" t="s">
        <v>371</v>
      </c>
      <c r="F158" t="s">
        <v>48</v>
      </c>
      <c r="G158" s="33">
        <v>17180</v>
      </c>
      <c r="H158" s="34">
        <v>100.004</v>
      </c>
      <c r="I158" s="34">
        <v>99.986999999999995</v>
      </c>
      <c r="J158" s="35">
        <v>1.7002210287347475E-4</v>
      </c>
      <c r="K158" s="35">
        <v>2.5000000000000001E-3</v>
      </c>
      <c r="L158" s="36">
        <v>292.06000000017383</v>
      </c>
      <c r="M158" t="s">
        <v>573</v>
      </c>
      <c r="N158" t="s">
        <v>594</v>
      </c>
    </row>
    <row r="159" spans="1:14" x14ac:dyDescent="0.3">
      <c r="A159" t="s">
        <v>372</v>
      </c>
      <c r="B159" s="32">
        <v>46293</v>
      </c>
      <c r="C159" t="s">
        <v>77</v>
      </c>
      <c r="D159" t="s">
        <v>26</v>
      </c>
      <c r="E159" t="s">
        <v>374</v>
      </c>
      <c r="F159" t="s">
        <v>48</v>
      </c>
      <c r="G159" s="33">
        <v>11561</v>
      </c>
      <c r="H159" s="34">
        <v>96.644000000000005</v>
      </c>
      <c r="I159" s="34">
        <v>96.545000000000002</v>
      </c>
      <c r="J159" s="35">
        <v>1.0254285566316614E-3</v>
      </c>
      <c r="K159" s="35">
        <v>2.5000000000000001E-3</v>
      </c>
      <c r="L159" s="36">
        <v>1144.5390000000434</v>
      </c>
      <c r="M159" t="s">
        <v>573</v>
      </c>
      <c r="N159" t="s">
        <v>594</v>
      </c>
    </row>
    <row r="160" spans="1:14" x14ac:dyDescent="0.3">
      <c r="A160" t="s">
        <v>375</v>
      </c>
      <c r="B160" s="32">
        <v>46293</v>
      </c>
      <c r="C160" t="s">
        <v>46</v>
      </c>
      <c r="D160" t="s">
        <v>25</v>
      </c>
      <c r="E160" t="s">
        <v>376</v>
      </c>
      <c r="F160" t="s">
        <v>48</v>
      </c>
      <c r="G160" s="33">
        <v>11278</v>
      </c>
      <c r="H160" s="34">
        <v>103.657</v>
      </c>
      <c r="I160" s="34">
        <v>103.664</v>
      </c>
      <c r="J160" s="35">
        <v>-6.7525852755103051E-5</v>
      </c>
      <c r="K160" s="35">
        <v>5.0000000000000001E-3</v>
      </c>
      <c r="L160" s="36">
        <v>-78.946000000056415</v>
      </c>
      <c r="M160" t="s">
        <v>573</v>
      </c>
      <c r="N160" t="s">
        <v>594</v>
      </c>
    </row>
    <row r="161" spans="1:14" x14ac:dyDescent="0.3">
      <c r="A161" t="s">
        <v>377</v>
      </c>
      <c r="B161" s="32">
        <v>46293</v>
      </c>
      <c r="C161" t="s">
        <v>60</v>
      </c>
      <c r="D161" t="s">
        <v>24</v>
      </c>
      <c r="E161" t="s">
        <v>378</v>
      </c>
      <c r="F161" t="s">
        <v>56</v>
      </c>
      <c r="G161" s="33">
        <v>20253</v>
      </c>
      <c r="H161" s="34">
        <v>51.32</v>
      </c>
      <c r="I161" s="34">
        <v>51.81</v>
      </c>
      <c r="J161" s="35">
        <v>-9.4576336614553558E-3</v>
      </c>
      <c r="K161" s="35">
        <v>0.01</v>
      </c>
      <c r="L161" s="36">
        <v>-9923.9700000000412</v>
      </c>
      <c r="M161" t="s">
        <v>573</v>
      </c>
      <c r="N161" t="s">
        <v>594</v>
      </c>
    </row>
    <row r="162" spans="1:14" x14ac:dyDescent="0.3">
      <c r="A162" t="s">
        <v>379</v>
      </c>
      <c r="B162" s="32">
        <v>46293</v>
      </c>
      <c r="C162" t="s">
        <v>96</v>
      </c>
      <c r="D162" t="s">
        <v>26</v>
      </c>
      <c r="E162" t="s">
        <v>380</v>
      </c>
      <c r="F162" t="s">
        <v>52</v>
      </c>
      <c r="G162" s="33">
        <v>2318</v>
      </c>
      <c r="H162" s="34">
        <v>103.997</v>
      </c>
      <c r="I162" s="34">
        <v>104.036</v>
      </c>
      <c r="J162" s="35">
        <v>-3.7487023722558994E-4</v>
      </c>
      <c r="K162" s="35">
        <v>2.5000000000000001E-3</v>
      </c>
      <c r="L162" s="36">
        <v>-90.402000000003426</v>
      </c>
      <c r="M162" t="s">
        <v>573</v>
      </c>
      <c r="N162" t="s">
        <v>594</v>
      </c>
    </row>
    <row r="163" spans="1:14" x14ac:dyDescent="0.3">
      <c r="A163" t="s">
        <v>381</v>
      </c>
      <c r="B163" s="32">
        <v>46293</v>
      </c>
      <c r="C163" t="s">
        <v>60</v>
      </c>
      <c r="D163" t="s">
        <v>24</v>
      </c>
      <c r="E163" t="s">
        <v>382</v>
      </c>
      <c r="F163" t="s">
        <v>56</v>
      </c>
      <c r="G163" s="33">
        <v>49119</v>
      </c>
      <c r="H163" s="34">
        <v>291.24</v>
      </c>
      <c r="I163" s="34">
        <v>292.85000000000002</v>
      </c>
      <c r="J163" s="35">
        <v>-5.4976950657333566E-3</v>
      </c>
      <c r="K163" s="35">
        <v>0.01</v>
      </c>
      <c r="L163" s="36">
        <v>-79081.590000000666</v>
      </c>
      <c r="M163" t="s">
        <v>573</v>
      </c>
      <c r="N163" t="s">
        <v>594</v>
      </c>
    </row>
    <row r="164" spans="1:14" x14ac:dyDescent="0.3">
      <c r="A164" t="s">
        <v>383</v>
      </c>
      <c r="B164" s="32">
        <v>46293</v>
      </c>
      <c r="C164" t="s">
        <v>39</v>
      </c>
      <c r="D164" t="s">
        <v>24</v>
      </c>
      <c r="E164" t="s">
        <v>384</v>
      </c>
      <c r="F164" t="s">
        <v>41</v>
      </c>
      <c r="G164" s="33">
        <v>41220</v>
      </c>
      <c r="H164" s="34">
        <v>45.45</v>
      </c>
      <c r="I164" s="34">
        <v>45.35</v>
      </c>
      <c r="J164" s="35">
        <v>2.2050716648291382E-3</v>
      </c>
      <c r="K164" s="35">
        <v>0.01</v>
      </c>
      <c r="L164" s="36">
        <v>4122.0000000000582</v>
      </c>
      <c r="M164" t="s">
        <v>573</v>
      </c>
      <c r="N164" t="s">
        <v>594</v>
      </c>
    </row>
    <row r="165" spans="1:14" x14ac:dyDescent="0.3">
      <c r="A165" t="s">
        <v>385</v>
      </c>
      <c r="B165" s="32">
        <v>46293</v>
      </c>
      <c r="C165" t="s">
        <v>77</v>
      </c>
      <c r="D165" t="s">
        <v>26</v>
      </c>
      <c r="E165" t="s">
        <v>386</v>
      </c>
      <c r="F165" t="s">
        <v>48</v>
      </c>
      <c r="G165" s="33">
        <v>15868</v>
      </c>
      <c r="H165" s="34">
        <v>98.813999999999993</v>
      </c>
      <c r="I165" s="34">
        <v>98.537999999999997</v>
      </c>
      <c r="J165" s="35">
        <v>2.8009498873530644E-3</v>
      </c>
      <c r="K165" s="35">
        <v>2.5000000000000001E-3</v>
      </c>
      <c r="L165" s="36">
        <v>4379.5679999999402</v>
      </c>
      <c r="M165" t="s">
        <v>595</v>
      </c>
      <c r="N165" t="s">
        <v>594</v>
      </c>
    </row>
    <row r="166" spans="1:14" x14ac:dyDescent="0.3">
      <c r="A166" t="s">
        <v>387</v>
      </c>
      <c r="B166" s="32">
        <v>46293</v>
      </c>
      <c r="C166" t="s">
        <v>50</v>
      </c>
      <c r="D166" t="s">
        <v>25</v>
      </c>
      <c r="E166" t="s">
        <v>388</v>
      </c>
      <c r="F166" t="s">
        <v>52</v>
      </c>
      <c r="G166" s="33">
        <v>5534</v>
      </c>
      <c r="H166" s="34">
        <v>96.346999999999994</v>
      </c>
      <c r="I166" s="34">
        <v>96.474999999999994</v>
      </c>
      <c r="J166" s="35">
        <v>-1.3267685928997162E-3</v>
      </c>
      <c r="K166" s="35">
        <v>5.0000000000000001E-3</v>
      </c>
      <c r="L166" s="36">
        <v>-708.35200000000066</v>
      </c>
      <c r="M166" t="s">
        <v>573</v>
      </c>
      <c r="N166" t="s">
        <v>594</v>
      </c>
    </row>
    <row r="167" spans="1:14" x14ac:dyDescent="0.3">
      <c r="A167" t="s">
        <v>389</v>
      </c>
      <c r="B167" s="32">
        <v>46293</v>
      </c>
      <c r="C167" t="s">
        <v>77</v>
      </c>
      <c r="D167" t="s">
        <v>26</v>
      </c>
      <c r="E167" t="s">
        <v>390</v>
      </c>
      <c r="F167" t="s">
        <v>48</v>
      </c>
      <c r="G167" s="33">
        <v>16883</v>
      </c>
      <c r="H167" s="34">
        <v>100.39400000000001</v>
      </c>
      <c r="I167" s="34">
        <v>100.297</v>
      </c>
      <c r="J167" s="35">
        <v>9.6712763093620359E-4</v>
      </c>
      <c r="K167" s="35">
        <v>2.5000000000000001E-3</v>
      </c>
      <c r="L167" s="36">
        <v>1637.6510000001419</v>
      </c>
      <c r="M167" t="s">
        <v>573</v>
      </c>
      <c r="N167" t="s">
        <v>594</v>
      </c>
    </row>
    <row r="168" spans="1:14" x14ac:dyDescent="0.3">
      <c r="A168" t="s">
        <v>391</v>
      </c>
      <c r="B168" s="32">
        <v>46293</v>
      </c>
      <c r="C168" t="s">
        <v>60</v>
      </c>
      <c r="D168" t="s">
        <v>24</v>
      </c>
      <c r="E168" t="s">
        <v>392</v>
      </c>
      <c r="F168" t="s">
        <v>56</v>
      </c>
      <c r="G168" s="33">
        <v>41298</v>
      </c>
      <c r="H168" s="34">
        <v>174.57</v>
      </c>
      <c r="I168" s="34">
        <v>175.65</v>
      </c>
      <c r="J168" s="35">
        <v>-6.1485909479078423E-3</v>
      </c>
      <c r="K168" s="35">
        <v>0.01</v>
      </c>
      <c r="L168" s="36">
        <v>-44601.840000000513</v>
      </c>
      <c r="M168" t="s">
        <v>573</v>
      </c>
      <c r="N168" t="s">
        <v>594</v>
      </c>
    </row>
    <row r="169" spans="1:14" x14ac:dyDescent="0.3">
      <c r="A169" t="s">
        <v>393</v>
      </c>
      <c r="B169" s="32">
        <v>46293</v>
      </c>
      <c r="C169" t="s">
        <v>39</v>
      </c>
      <c r="D169" t="s">
        <v>24</v>
      </c>
      <c r="E169" t="s">
        <v>394</v>
      </c>
      <c r="F169" t="s">
        <v>41</v>
      </c>
      <c r="G169" s="33">
        <v>15356</v>
      </c>
      <c r="H169" s="34">
        <v>295.86</v>
      </c>
      <c r="I169" s="34">
        <v>296.3</v>
      </c>
      <c r="J169" s="35">
        <v>-1.4849814377320206E-3</v>
      </c>
      <c r="K169" s="35">
        <v>0.01</v>
      </c>
      <c r="L169" s="36">
        <v>-6756.6399999999649</v>
      </c>
      <c r="M169" t="s">
        <v>573</v>
      </c>
      <c r="N169" t="s">
        <v>594</v>
      </c>
    </row>
    <row r="170" spans="1:14" x14ac:dyDescent="0.3">
      <c r="A170" t="s">
        <v>395</v>
      </c>
      <c r="B170" s="32">
        <v>46290</v>
      </c>
      <c r="C170" t="s">
        <v>60</v>
      </c>
      <c r="D170" t="s">
        <v>24</v>
      </c>
      <c r="E170" t="s">
        <v>396</v>
      </c>
      <c r="F170" t="s">
        <v>56</v>
      </c>
      <c r="G170" s="33">
        <v>37282</v>
      </c>
      <c r="H170" s="34">
        <v>36.22</v>
      </c>
      <c r="I170" s="34">
        <v>35.83</v>
      </c>
      <c r="J170" s="35">
        <v>1.0884733463578024E-2</v>
      </c>
      <c r="K170" s="35">
        <v>0.01</v>
      </c>
      <c r="L170" s="36">
        <v>14539.980000000021</v>
      </c>
      <c r="M170" t="s">
        <v>595</v>
      </c>
      <c r="N170" t="s">
        <v>598</v>
      </c>
    </row>
    <row r="171" spans="1:14" x14ac:dyDescent="0.3">
      <c r="A171" t="s">
        <v>397</v>
      </c>
      <c r="B171" s="32">
        <v>46293</v>
      </c>
      <c r="C171" t="s">
        <v>54</v>
      </c>
      <c r="D171" t="s">
        <v>27</v>
      </c>
      <c r="E171" t="s">
        <v>398</v>
      </c>
      <c r="F171" t="s">
        <v>56</v>
      </c>
      <c r="G171" s="33">
        <v>2417331</v>
      </c>
      <c r="H171" s="34">
        <v>1.4640299999999999</v>
      </c>
      <c r="I171" s="34">
        <v>1.4629000000000001</v>
      </c>
      <c r="J171" s="35">
        <v>7.7243830747136051E-4</v>
      </c>
      <c r="K171" s="35">
        <v>3.0000000000000001E-3</v>
      </c>
      <c r="L171" s="36">
        <v>2731.5840299996453</v>
      </c>
      <c r="M171" t="s">
        <v>573</v>
      </c>
      <c r="N171" t="s">
        <v>594</v>
      </c>
    </row>
    <row r="172" spans="1:14" x14ac:dyDescent="0.3">
      <c r="A172" t="s">
        <v>399</v>
      </c>
      <c r="B172" s="32">
        <v>46293</v>
      </c>
      <c r="C172" t="s">
        <v>46</v>
      </c>
      <c r="D172" t="s">
        <v>25</v>
      </c>
      <c r="E172" t="s">
        <v>400</v>
      </c>
      <c r="F172" t="s">
        <v>48</v>
      </c>
      <c r="G172" s="33">
        <v>17617</v>
      </c>
      <c r="H172" s="34">
        <v>102.614</v>
      </c>
      <c r="I172" s="34">
        <v>103.32</v>
      </c>
      <c r="J172" s="35">
        <v>-6.8331397599689205E-3</v>
      </c>
      <c r="K172" s="35">
        <v>5.0000000000000001E-3</v>
      </c>
      <c r="L172" s="36">
        <v>-12437.601999999804</v>
      </c>
      <c r="M172" t="s">
        <v>595</v>
      </c>
      <c r="N172" t="s">
        <v>594</v>
      </c>
    </row>
    <row r="173" spans="1:14" x14ac:dyDescent="0.3">
      <c r="A173" t="s">
        <v>401</v>
      </c>
      <c r="B173" s="32">
        <v>46293</v>
      </c>
      <c r="C173" t="s">
        <v>77</v>
      </c>
      <c r="D173" t="s">
        <v>26</v>
      </c>
      <c r="E173" t="s">
        <v>402</v>
      </c>
      <c r="F173" t="s">
        <v>48</v>
      </c>
      <c r="G173" s="33">
        <v>8972</v>
      </c>
      <c r="H173" s="34">
        <v>102.343</v>
      </c>
      <c r="I173" s="34">
        <v>102.283</v>
      </c>
      <c r="J173" s="35">
        <v>5.8660774517761769E-4</v>
      </c>
      <c r="K173" s="35">
        <v>2.5000000000000001E-3</v>
      </c>
      <c r="L173" s="36">
        <v>538.3200000000204</v>
      </c>
      <c r="M173" t="s">
        <v>573</v>
      </c>
      <c r="N173" t="s">
        <v>594</v>
      </c>
    </row>
    <row r="174" spans="1:14" x14ac:dyDescent="0.3">
      <c r="A174" t="s">
        <v>403</v>
      </c>
      <c r="B174" s="32">
        <v>46293</v>
      </c>
      <c r="C174" t="s">
        <v>39</v>
      </c>
      <c r="D174" t="s">
        <v>24</v>
      </c>
      <c r="E174" t="s">
        <v>404</v>
      </c>
      <c r="F174" t="s">
        <v>41</v>
      </c>
      <c r="G174" s="33">
        <v>13903</v>
      </c>
      <c r="H174" s="34">
        <v>98.89</v>
      </c>
      <c r="I174" s="34">
        <v>99.41</v>
      </c>
      <c r="J174" s="35">
        <v>-5.2308620863091848E-3</v>
      </c>
      <c r="K174" s="35">
        <v>0.01</v>
      </c>
      <c r="L174" s="36">
        <v>-7229.5599999999449</v>
      </c>
      <c r="M174" t="s">
        <v>573</v>
      </c>
      <c r="N174" t="s">
        <v>594</v>
      </c>
    </row>
    <row r="175" spans="1:14" x14ac:dyDescent="0.3">
      <c r="A175" t="s">
        <v>405</v>
      </c>
      <c r="B175" s="32">
        <v>46293</v>
      </c>
      <c r="C175" t="s">
        <v>46</v>
      </c>
      <c r="D175" t="s">
        <v>25</v>
      </c>
      <c r="E175" t="s">
        <v>406</v>
      </c>
      <c r="F175" t="s">
        <v>48</v>
      </c>
      <c r="G175" s="33">
        <v>16222</v>
      </c>
      <c r="H175" s="34">
        <v>95.501000000000005</v>
      </c>
      <c r="I175" s="34">
        <v>95.378</v>
      </c>
      <c r="J175" s="35">
        <v>1.2896055694185731E-3</v>
      </c>
      <c r="K175" s="35">
        <v>5.0000000000000001E-3</v>
      </c>
      <c r="L175" s="36">
        <v>1995.3060000000755</v>
      </c>
      <c r="M175" t="s">
        <v>573</v>
      </c>
      <c r="N175" t="s">
        <v>594</v>
      </c>
    </row>
    <row r="176" spans="1:14" x14ac:dyDescent="0.3">
      <c r="A176" t="s">
        <v>407</v>
      </c>
      <c r="B176" s="32">
        <v>46293</v>
      </c>
      <c r="C176" t="s">
        <v>77</v>
      </c>
      <c r="D176" t="s">
        <v>26</v>
      </c>
      <c r="E176" t="s">
        <v>408</v>
      </c>
      <c r="F176" t="s">
        <v>48</v>
      </c>
      <c r="G176" s="33">
        <v>19212</v>
      </c>
      <c r="H176" s="34">
        <v>98.236999999999995</v>
      </c>
      <c r="I176" s="34">
        <v>98.403999999999996</v>
      </c>
      <c r="J176" s="35">
        <v>-1.6970854843299215E-3</v>
      </c>
      <c r="K176" s="35">
        <v>2.5000000000000001E-3</v>
      </c>
      <c r="L176" s="36">
        <v>-3208.4040000000305</v>
      </c>
      <c r="M176" t="s">
        <v>573</v>
      </c>
      <c r="N176" t="s">
        <v>594</v>
      </c>
    </row>
    <row r="177" spans="1:14" x14ac:dyDescent="0.3">
      <c r="A177" t="s">
        <v>409</v>
      </c>
      <c r="B177" s="32">
        <v>46293</v>
      </c>
      <c r="C177" t="s">
        <v>60</v>
      </c>
      <c r="D177" t="s">
        <v>24</v>
      </c>
      <c r="E177" t="s">
        <v>410</v>
      </c>
      <c r="F177" t="s">
        <v>56</v>
      </c>
      <c r="G177" s="33">
        <v>45199</v>
      </c>
      <c r="H177" s="34">
        <v>149.43</v>
      </c>
      <c r="I177" s="34">
        <v>149.63999999999999</v>
      </c>
      <c r="J177" s="35">
        <v>-1.4033680834000238E-3</v>
      </c>
      <c r="K177" s="35">
        <v>0.01</v>
      </c>
      <c r="L177" s="36">
        <v>-9491.789999999075</v>
      </c>
      <c r="M177" t="s">
        <v>573</v>
      </c>
      <c r="N177" t="s">
        <v>594</v>
      </c>
    </row>
    <row r="178" spans="1:14" x14ac:dyDescent="0.3">
      <c r="A178" t="s">
        <v>411</v>
      </c>
      <c r="B178" s="32">
        <v>46293</v>
      </c>
      <c r="C178" t="s">
        <v>77</v>
      </c>
      <c r="D178" t="s">
        <v>26</v>
      </c>
      <c r="E178" t="s">
        <v>412</v>
      </c>
      <c r="F178" t="s">
        <v>48</v>
      </c>
      <c r="G178" s="33">
        <v>17083</v>
      </c>
      <c r="H178" s="34">
        <v>101.167</v>
      </c>
      <c r="I178" s="34">
        <v>101.096</v>
      </c>
      <c r="J178" s="35">
        <v>7.0230276173140335E-4</v>
      </c>
      <c r="K178" s="35">
        <v>2.5000000000000001E-3</v>
      </c>
      <c r="L178" s="36">
        <v>1212.892999999965</v>
      </c>
      <c r="M178" t="s">
        <v>573</v>
      </c>
      <c r="N178" t="s">
        <v>594</v>
      </c>
    </row>
    <row r="179" spans="1:14" x14ac:dyDescent="0.3">
      <c r="A179" t="s">
        <v>413</v>
      </c>
      <c r="B179" s="32">
        <v>46293</v>
      </c>
      <c r="C179" t="s">
        <v>39</v>
      </c>
      <c r="D179" t="s">
        <v>24</v>
      </c>
      <c r="E179" t="s">
        <v>414</v>
      </c>
      <c r="F179" t="s">
        <v>41</v>
      </c>
      <c r="G179" s="33">
        <v>25686</v>
      </c>
      <c r="H179" s="34">
        <v>272.68</v>
      </c>
      <c r="I179" s="34">
        <v>272.63</v>
      </c>
      <c r="J179" s="35">
        <v>1.8339874555262212E-4</v>
      </c>
      <c r="K179" s="35">
        <v>0.01</v>
      </c>
      <c r="L179" s="36">
        <v>1284.3000000002921</v>
      </c>
      <c r="M179" t="s">
        <v>573</v>
      </c>
      <c r="N179" t="s">
        <v>594</v>
      </c>
    </row>
    <row r="180" spans="1:14" x14ac:dyDescent="0.3">
      <c r="A180" t="s">
        <v>415</v>
      </c>
      <c r="B180" s="32">
        <v>46293</v>
      </c>
      <c r="C180" t="s">
        <v>77</v>
      </c>
      <c r="D180" t="s">
        <v>26</v>
      </c>
      <c r="E180" t="s">
        <v>416</v>
      </c>
      <c r="F180" t="s">
        <v>48</v>
      </c>
      <c r="G180" s="33">
        <v>16232</v>
      </c>
      <c r="H180" s="34">
        <v>100.92700000000001</v>
      </c>
      <c r="I180" s="34">
        <v>100.77500000000001</v>
      </c>
      <c r="J180" s="35">
        <v>1.5083105929049965E-3</v>
      </c>
      <c r="K180" s="35">
        <v>2.5000000000000001E-3</v>
      </c>
      <c r="L180" s="36">
        <v>2467.2640000000165</v>
      </c>
      <c r="M180" t="s">
        <v>573</v>
      </c>
      <c r="N180" t="s">
        <v>594</v>
      </c>
    </row>
    <row r="181" spans="1:14" x14ac:dyDescent="0.3">
      <c r="A181" t="s">
        <v>417</v>
      </c>
      <c r="B181" s="32">
        <v>46293</v>
      </c>
      <c r="C181" t="s">
        <v>54</v>
      </c>
      <c r="D181" t="s">
        <v>27</v>
      </c>
      <c r="E181" t="s">
        <v>418</v>
      </c>
      <c r="F181" t="s">
        <v>56</v>
      </c>
      <c r="G181" s="33">
        <v>178831</v>
      </c>
      <c r="H181" s="34">
        <v>1.06115</v>
      </c>
      <c r="I181" s="34">
        <v>1.06118</v>
      </c>
      <c r="J181" s="35">
        <v>-2.8270415952029336E-5</v>
      </c>
      <c r="K181" s="35">
        <v>3.0000000000000001E-3</v>
      </c>
      <c r="L181" s="36">
        <v>-5.3649299999954385</v>
      </c>
      <c r="M181" t="s">
        <v>573</v>
      </c>
      <c r="N181" t="s">
        <v>594</v>
      </c>
    </row>
    <row r="182" spans="1:14" x14ac:dyDescent="0.3">
      <c r="A182" t="s">
        <v>419</v>
      </c>
      <c r="B182" s="32">
        <v>46293</v>
      </c>
      <c r="C182" t="s">
        <v>50</v>
      </c>
      <c r="D182" t="s">
        <v>25</v>
      </c>
      <c r="E182" t="s">
        <v>420</v>
      </c>
      <c r="F182" t="s">
        <v>52</v>
      </c>
      <c r="G182" s="33">
        <v>7532</v>
      </c>
      <c r="H182" s="34">
        <v>107.194</v>
      </c>
      <c r="I182" s="34">
        <v>106.881</v>
      </c>
      <c r="J182" s="35">
        <v>2.9284905642724375E-3</v>
      </c>
      <c r="K182" s="35">
        <v>5.0000000000000001E-3</v>
      </c>
      <c r="L182" s="36">
        <v>2357.5160000000178</v>
      </c>
      <c r="M182" t="s">
        <v>573</v>
      </c>
      <c r="N182" t="s">
        <v>594</v>
      </c>
    </row>
    <row r="183" spans="1:14" x14ac:dyDescent="0.3">
      <c r="A183" t="s">
        <v>421</v>
      </c>
      <c r="B183" s="32">
        <v>46293</v>
      </c>
      <c r="C183" t="s">
        <v>77</v>
      </c>
      <c r="D183" t="s">
        <v>26</v>
      </c>
      <c r="E183" t="s">
        <v>422</v>
      </c>
      <c r="F183" t="s">
        <v>48</v>
      </c>
      <c r="G183" s="33">
        <v>15771</v>
      </c>
      <c r="H183" s="34">
        <v>102.81399999999999</v>
      </c>
      <c r="I183" s="34">
        <v>102.79300000000001</v>
      </c>
      <c r="J183" s="35">
        <v>2.042940667164747E-4</v>
      </c>
      <c r="K183" s="35">
        <v>2.5000000000000001E-3</v>
      </c>
      <c r="L183" s="36">
        <v>331.19099999978846</v>
      </c>
      <c r="M183" t="s">
        <v>573</v>
      </c>
      <c r="N183" t="s">
        <v>594</v>
      </c>
    </row>
    <row r="184" spans="1:14" x14ac:dyDescent="0.3">
      <c r="A184" t="s">
        <v>423</v>
      </c>
      <c r="B184" s="32">
        <v>46293</v>
      </c>
      <c r="C184" t="s">
        <v>39</v>
      </c>
      <c r="D184" t="s">
        <v>24</v>
      </c>
      <c r="E184" t="s">
        <v>424</v>
      </c>
      <c r="F184" t="s">
        <v>41</v>
      </c>
      <c r="G184" s="33">
        <v>6178</v>
      </c>
      <c r="H184" s="34">
        <v>63.53</v>
      </c>
      <c r="I184" s="34">
        <v>63.25</v>
      </c>
      <c r="J184" s="35">
        <v>4.4268774703557492E-3</v>
      </c>
      <c r="K184" s="35">
        <v>0.01</v>
      </c>
      <c r="L184" s="36">
        <v>1729.840000000007</v>
      </c>
      <c r="M184" t="s">
        <v>573</v>
      </c>
      <c r="N184" t="s">
        <v>594</v>
      </c>
    </row>
    <row r="185" spans="1:14" x14ac:dyDescent="0.3">
      <c r="A185" t="s">
        <v>425</v>
      </c>
      <c r="B185" s="32">
        <v>46293</v>
      </c>
      <c r="C185" t="s">
        <v>46</v>
      </c>
      <c r="D185" t="s">
        <v>25</v>
      </c>
      <c r="E185" t="s">
        <v>426</v>
      </c>
      <c r="F185" t="s">
        <v>48</v>
      </c>
      <c r="G185" s="33">
        <v>19314</v>
      </c>
      <c r="H185" s="34">
        <v>94.132999999999996</v>
      </c>
      <c r="I185" s="34">
        <v>94.415999999999997</v>
      </c>
      <c r="J185" s="35">
        <v>-2.9973733265548346E-3</v>
      </c>
      <c r="K185" s="35">
        <v>5.0000000000000001E-3</v>
      </c>
      <c r="L185" s="36">
        <v>-5465.8620000000237</v>
      </c>
      <c r="M185" t="s">
        <v>573</v>
      </c>
      <c r="N185" t="s">
        <v>594</v>
      </c>
    </row>
    <row r="186" spans="1:14" x14ac:dyDescent="0.3">
      <c r="A186" t="s">
        <v>427</v>
      </c>
      <c r="B186" s="32">
        <v>46293</v>
      </c>
      <c r="C186" t="s">
        <v>39</v>
      </c>
      <c r="D186" t="s">
        <v>24</v>
      </c>
      <c r="E186" t="s">
        <v>428</v>
      </c>
      <c r="F186" t="s">
        <v>41</v>
      </c>
      <c r="G186" s="33">
        <v>19545</v>
      </c>
      <c r="H186" s="34">
        <v>63.34</v>
      </c>
      <c r="I186" s="34">
        <v>62.46</v>
      </c>
      <c r="J186" s="35">
        <v>1.4089016970861392E-2</v>
      </c>
      <c r="K186" s="35">
        <v>0.01</v>
      </c>
      <c r="L186" s="36">
        <v>17199.600000000049</v>
      </c>
      <c r="M186" t="s">
        <v>595</v>
      </c>
      <c r="N186" t="s">
        <v>594</v>
      </c>
    </row>
    <row r="187" spans="1:14" x14ac:dyDescent="0.3">
      <c r="A187" t="s">
        <v>429</v>
      </c>
      <c r="B187" s="32">
        <v>46293</v>
      </c>
      <c r="C187" t="s">
        <v>96</v>
      </c>
      <c r="D187" t="s">
        <v>26</v>
      </c>
      <c r="E187" t="s">
        <v>430</v>
      </c>
      <c r="F187" t="s">
        <v>52</v>
      </c>
      <c r="G187" s="33">
        <v>3339</v>
      </c>
      <c r="H187" s="34">
        <v>101.181</v>
      </c>
      <c r="I187" s="34">
        <v>101.02200000000001</v>
      </c>
      <c r="J187" s="35">
        <v>1.5739145928608798E-3</v>
      </c>
      <c r="K187" s="35">
        <v>2.5000000000000001E-3</v>
      </c>
      <c r="L187" s="36">
        <v>530.90099999997267</v>
      </c>
      <c r="M187" t="s">
        <v>573</v>
      </c>
      <c r="N187" t="s">
        <v>594</v>
      </c>
    </row>
    <row r="188" spans="1:14" x14ac:dyDescent="0.3">
      <c r="A188" t="s">
        <v>431</v>
      </c>
      <c r="B188" s="32">
        <v>46293</v>
      </c>
      <c r="C188" t="s">
        <v>60</v>
      </c>
      <c r="D188" t="s">
        <v>24</v>
      </c>
      <c r="E188" t="s">
        <v>432</v>
      </c>
      <c r="F188" t="s">
        <v>56</v>
      </c>
      <c r="G188" s="33">
        <v>7607</v>
      </c>
      <c r="H188" s="34">
        <v>210.48</v>
      </c>
      <c r="I188" s="34">
        <v>211.15</v>
      </c>
      <c r="J188" s="35">
        <v>-3.1730996921620455E-3</v>
      </c>
      <c r="K188" s="35">
        <v>0.01</v>
      </c>
      <c r="L188" s="36">
        <v>-5096.6900000001215</v>
      </c>
      <c r="M188" t="s">
        <v>573</v>
      </c>
      <c r="N188" t="s">
        <v>594</v>
      </c>
    </row>
    <row r="189" spans="1:14" x14ac:dyDescent="0.3">
      <c r="A189" t="s">
        <v>433</v>
      </c>
      <c r="B189" s="32">
        <v>46293</v>
      </c>
      <c r="C189" t="s">
        <v>46</v>
      </c>
      <c r="D189" t="s">
        <v>25</v>
      </c>
      <c r="E189" t="s">
        <v>434</v>
      </c>
      <c r="F189" t="s">
        <v>48</v>
      </c>
      <c r="G189" s="33">
        <v>17692</v>
      </c>
      <c r="H189" s="34">
        <v>97.617999999999995</v>
      </c>
      <c r="I189" s="34">
        <v>97.414000000000001</v>
      </c>
      <c r="J189" s="35">
        <v>2.0941548442728304E-3</v>
      </c>
      <c r="K189" s="35">
        <v>5.0000000000000001E-3</v>
      </c>
      <c r="L189" s="36">
        <v>3609.1679999998855</v>
      </c>
      <c r="M189" t="s">
        <v>573</v>
      </c>
      <c r="N189" t="s">
        <v>594</v>
      </c>
    </row>
    <row r="190" spans="1:14" x14ac:dyDescent="0.3">
      <c r="A190" t="s">
        <v>435</v>
      </c>
      <c r="B190" s="32">
        <v>46293</v>
      </c>
      <c r="C190" t="s">
        <v>96</v>
      </c>
      <c r="D190" t="s">
        <v>26</v>
      </c>
      <c r="E190" t="s">
        <v>436</v>
      </c>
      <c r="F190" t="s">
        <v>52</v>
      </c>
      <c r="G190" s="33">
        <v>7260</v>
      </c>
      <c r="H190" s="34">
        <v>100.133</v>
      </c>
      <c r="I190" s="34">
        <v>100.25</v>
      </c>
      <c r="J190" s="35">
        <v>-1.1670822942643833E-3</v>
      </c>
      <c r="K190" s="35">
        <v>2.5000000000000001E-3</v>
      </c>
      <c r="L190" s="36">
        <v>-849.42000000003213</v>
      </c>
      <c r="M190" t="s">
        <v>573</v>
      </c>
      <c r="N190" t="s">
        <v>594</v>
      </c>
    </row>
    <row r="191" spans="1:14" x14ac:dyDescent="0.3">
      <c r="A191" t="s">
        <v>437</v>
      </c>
      <c r="B191" s="32">
        <v>46293</v>
      </c>
      <c r="C191" t="s">
        <v>50</v>
      </c>
      <c r="D191" t="s">
        <v>25</v>
      </c>
      <c r="E191" t="s">
        <v>438</v>
      </c>
      <c r="F191" t="s">
        <v>52</v>
      </c>
      <c r="G191" s="33">
        <v>9559</v>
      </c>
      <c r="H191" s="34">
        <v>106.033</v>
      </c>
      <c r="I191" s="34">
        <v>106.23099999999999</v>
      </c>
      <c r="J191" s="35">
        <v>-1.8638627142735483E-3</v>
      </c>
      <c r="K191" s="35">
        <v>5.0000000000000001E-3</v>
      </c>
      <c r="L191" s="36">
        <v>-1892.6819999999359</v>
      </c>
      <c r="M191" t="s">
        <v>573</v>
      </c>
      <c r="N191" t="s">
        <v>594</v>
      </c>
    </row>
    <row r="192" spans="1:14" x14ac:dyDescent="0.3">
      <c r="A192" t="s">
        <v>439</v>
      </c>
      <c r="B192" s="32">
        <v>46293</v>
      </c>
      <c r="C192" t="s">
        <v>46</v>
      </c>
      <c r="D192" t="s">
        <v>25</v>
      </c>
      <c r="E192" t="s">
        <v>440</v>
      </c>
      <c r="F192" t="s">
        <v>48</v>
      </c>
      <c r="G192" s="33">
        <v>7498</v>
      </c>
      <c r="H192" s="34">
        <v>107.06399999999999</v>
      </c>
      <c r="I192" s="34">
        <v>107.333</v>
      </c>
      <c r="J192" s="35">
        <v>-2.5062189634129806E-3</v>
      </c>
      <c r="K192" s="35">
        <v>5.0000000000000001E-3</v>
      </c>
      <c r="L192" s="36">
        <v>-2016.9620000000409</v>
      </c>
      <c r="M192" t="s">
        <v>573</v>
      </c>
      <c r="N192" t="s">
        <v>594</v>
      </c>
    </row>
    <row r="193" spans="1:14" x14ac:dyDescent="0.3">
      <c r="A193" t="s">
        <v>441</v>
      </c>
      <c r="B193" s="32">
        <v>46293</v>
      </c>
      <c r="C193" t="s">
        <v>96</v>
      </c>
      <c r="D193" t="s">
        <v>26</v>
      </c>
      <c r="E193" t="s">
        <v>442</v>
      </c>
      <c r="F193" t="s">
        <v>52</v>
      </c>
      <c r="G193" s="33">
        <v>15490</v>
      </c>
      <c r="H193" s="34">
        <v>99.763999999999996</v>
      </c>
      <c r="I193" s="34">
        <v>99.834000000000003</v>
      </c>
      <c r="J193" s="35">
        <v>-7.0116393212740541E-4</v>
      </c>
      <c r="K193" s="35">
        <v>2.5000000000000001E-3</v>
      </c>
      <c r="L193" s="36">
        <v>-1084.3000000001146</v>
      </c>
      <c r="M193" t="s">
        <v>573</v>
      </c>
      <c r="N193" t="s">
        <v>594</v>
      </c>
    </row>
    <row r="194" spans="1:14" x14ac:dyDescent="0.3">
      <c r="A194" t="s">
        <v>443</v>
      </c>
      <c r="B194" s="32">
        <v>46293</v>
      </c>
      <c r="C194" t="s">
        <v>77</v>
      </c>
      <c r="D194" t="s">
        <v>26</v>
      </c>
      <c r="E194" t="s">
        <v>444</v>
      </c>
      <c r="F194" t="s">
        <v>48</v>
      </c>
      <c r="G194" s="33">
        <v>14189</v>
      </c>
      <c r="H194" s="34">
        <v>99.513000000000005</v>
      </c>
      <c r="I194" s="34">
        <v>99.992999999999995</v>
      </c>
      <c r="J194" s="35">
        <v>-4.8003360235215446E-3</v>
      </c>
      <c r="K194" s="35">
        <v>2.5000000000000001E-3</v>
      </c>
      <c r="L194" s="36">
        <v>-6810.7199999998547</v>
      </c>
      <c r="M194" t="s">
        <v>595</v>
      </c>
      <c r="N194" t="s">
        <v>594</v>
      </c>
    </row>
    <row r="195" spans="1:14" x14ac:dyDescent="0.3">
      <c r="A195" t="s">
        <v>445</v>
      </c>
      <c r="B195" s="32">
        <v>46293</v>
      </c>
      <c r="C195" t="s">
        <v>43</v>
      </c>
      <c r="D195" t="s">
        <v>27</v>
      </c>
      <c r="E195" t="s">
        <v>446</v>
      </c>
      <c r="F195" t="s">
        <v>41</v>
      </c>
      <c r="G195" s="33">
        <v>2888708</v>
      </c>
      <c r="H195" s="34">
        <v>1.46526</v>
      </c>
      <c r="I195" s="34">
        <v>1.4676499999999999</v>
      </c>
      <c r="J195" s="35">
        <v>-1.6284536503934129E-3</v>
      </c>
      <c r="K195" s="35">
        <v>3.0000000000000001E-3</v>
      </c>
      <c r="L195" s="36">
        <v>-6904.0121199996884</v>
      </c>
      <c r="M195" t="s">
        <v>573</v>
      </c>
      <c r="N195" t="s">
        <v>594</v>
      </c>
    </row>
    <row r="196" spans="1:14" x14ac:dyDescent="0.3">
      <c r="A196" t="s">
        <v>447</v>
      </c>
      <c r="B196" s="32">
        <v>46293</v>
      </c>
      <c r="C196" t="s">
        <v>77</v>
      </c>
      <c r="D196" t="s">
        <v>26</v>
      </c>
      <c r="E196" t="s">
        <v>448</v>
      </c>
      <c r="F196" t="s">
        <v>48</v>
      </c>
      <c r="G196" s="33">
        <v>7670</v>
      </c>
      <c r="H196" s="34">
        <v>102.08</v>
      </c>
      <c r="I196" s="34">
        <v>101.991</v>
      </c>
      <c r="J196" s="35">
        <v>8.7262601602100813E-4</v>
      </c>
      <c r="K196" s="35">
        <v>2.5000000000000001E-3</v>
      </c>
      <c r="L196" s="36">
        <v>682.62999999998954</v>
      </c>
      <c r="M196" t="s">
        <v>573</v>
      </c>
      <c r="N196" t="s">
        <v>594</v>
      </c>
    </row>
    <row r="197" spans="1:14" x14ac:dyDescent="0.3">
      <c r="A197" t="s">
        <v>449</v>
      </c>
      <c r="B197" s="32">
        <v>46293</v>
      </c>
      <c r="C197" t="s">
        <v>50</v>
      </c>
      <c r="D197" t="s">
        <v>25</v>
      </c>
      <c r="E197" t="s">
        <v>450</v>
      </c>
      <c r="F197" t="s">
        <v>52</v>
      </c>
      <c r="G197" s="33">
        <v>3274</v>
      </c>
      <c r="H197" s="34">
        <v>92.379000000000005</v>
      </c>
      <c r="I197" s="34">
        <v>92.307000000000002</v>
      </c>
      <c r="J197" s="35">
        <v>7.800058500439049E-4</v>
      </c>
      <c r="K197" s="35">
        <v>5.0000000000000001E-3</v>
      </c>
      <c r="L197" s="36">
        <v>235.72800000000893</v>
      </c>
      <c r="M197" t="s">
        <v>573</v>
      </c>
      <c r="N197" t="s">
        <v>594</v>
      </c>
    </row>
    <row r="198" spans="1:14" x14ac:dyDescent="0.3">
      <c r="A198" t="s">
        <v>451</v>
      </c>
      <c r="B198" s="32">
        <v>46293</v>
      </c>
      <c r="C198" t="s">
        <v>50</v>
      </c>
      <c r="D198" t="s">
        <v>25</v>
      </c>
      <c r="E198" t="s">
        <v>453</v>
      </c>
      <c r="F198" t="s">
        <v>52</v>
      </c>
      <c r="G198" s="33">
        <v>5835</v>
      </c>
      <c r="H198" s="34">
        <v>103.494</v>
      </c>
      <c r="I198" s="34">
        <v>103.68899999999999</v>
      </c>
      <c r="J198" s="35">
        <v>-1.8806237884442245E-3</v>
      </c>
      <c r="K198" s="35">
        <v>5.0000000000000001E-3</v>
      </c>
      <c r="L198" s="36">
        <v>-1137.8249999999603</v>
      </c>
      <c r="M198" t="s">
        <v>573</v>
      </c>
      <c r="N198" t="s">
        <v>594</v>
      </c>
    </row>
    <row r="199" spans="1:14" x14ac:dyDescent="0.3">
      <c r="A199" t="s">
        <v>454</v>
      </c>
      <c r="B199" s="32">
        <v>46293</v>
      </c>
      <c r="C199" t="s">
        <v>39</v>
      </c>
      <c r="D199" t="s">
        <v>24</v>
      </c>
      <c r="E199" t="s">
        <v>455</v>
      </c>
      <c r="F199" t="s">
        <v>41</v>
      </c>
      <c r="G199" s="33">
        <v>33370</v>
      </c>
      <c r="H199" s="34">
        <v>255.67</v>
      </c>
      <c r="I199" s="34">
        <v>257.2</v>
      </c>
      <c r="J199" s="35">
        <v>-5.9486780715396629E-3</v>
      </c>
      <c r="K199" s="35">
        <v>0.01</v>
      </c>
      <c r="L199" s="36">
        <v>-51056.100000000035</v>
      </c>
      <c r="M199" t="s">
        <v>573</v>
      </c>
      <c r="N199" t="s">
        <v>594</v>
      </c>
    </row>
    <row r="200" spans="1:14" x14ac:dyDescent="0.3">
      <c r="A200" t="s">
        <v>456</v>
      </c>
      <c r="B200" s="32">
        <v>46293</v>
      </c>
      <c r="C200" t="s">
        <v>46</v>
      </c>
      <c r="D200" t="s">
        <v>25</v>
      </c>
      <c r="E200" t="s">
        <v>457</v>
      </c>
      <c r="F200" t="s">
        <v>48</v>
      </c>
      <c r="G200" s="33">
        <v>16128</v>
      </c>
      <c r="H200" s="34">
        <v>94.171000000000006</v>
      </c>
      <c r="I200" s="34">
        <v>94.361000000000004</v>
      </c>
      <c r="J200" s="35">
        <v>-2.0135437309905333E-3</v>
      </c>
      <c r="K200" s="35">
        <v>5.0000000000000001E-3</v>
      </c>
      <c r="L200" s="36">
        <v>-3064.3199999999633</v>
      </c>
      <c r="M200" t="s">
        <v>573</v>
      </c>
      <c r="N200" t="s">
        <v>594</v>
      </c>
    </row>
    <row r="201" spans="1:14" x14ac:dyDescent="0.3">
      <c r="A201" t="s">
        <v>458</v>
      </c>
      <c r="B201" s="32">
        <v>46293</v>
      </c>
      <c r="C201" t="s">
        <v>60</v>
      </c>
      <c r="D201" t="s">
        <v>24</v>
      </c>
      <c r="E201" t="s">
        <v>459</v>
      </c>
      <c r="F201" t="s">
        <v>56</v>
      </c>
      <c r="G201" s="33">
        <v>20690</v>
      </c>
      <c r="H201" s="34">
        <v>207.52</v>
      </c>
      <c r="I201" s="34">
        <v>208.16</v>
      </c>
      <c r="J201" s="35">
        <v>-3.0745580322827939E-3</v>
      </c>
      <c r="K201" s="35">
        <v>0.01</v>
      </c>
      <c r="L201" s="36">
        <v>-13241.599999999718</v>
      </c>
      <c r="M201" t="s">
        <v>573</v>
      </c>
      <c r="N201" t="s">
        <v>594</v>
      </c>
    </row>
    <row r="202" spans="1:14" x14ac:dyDescent="0.3">
      <c r="A202" t="s">
        <v>460</v>
      </c>
      <c r="B202" s="32">
        <v>46293</v>
      </c>
      <c r="C202" t="s">
        <v>60</v>
      </c>
      <c r="D202" t="s">
        <v>24</v>
      </c>
      <c r="E202" t="s">
        <v>461</v>
      </c>
      <c r="F202" t="s">
        <v>56</v>
      </c>
      <c r="G202" s="33">
        <v>47025</v>
      </c>
      <c r="H202" s="34">
        <v>177.15</v>
      </c>
      <c r="I202" s="34">
        <v>177.07</v>
      </c>
      <c r="J202" s="35">
        <v>4.5179872366867625E-4</v>
      </c>
      <c r="K202" s="35">
        <v>0.01</v>
      </c>
      <c r="L202" s="36">
        <v>3762.000000000588</v>
      </c>
      <c r="M202" t="s">
        <v>573</v>
      </c>
      <c r="N202" t="s">
        <v>594</v>
      </c>
    </row>
    <row r="203" spans="1:14" x14ac:dyDescent="0.3">
      <c r="A203" t="s">
        <v>462</v>
      </c>
      <c r="B203" s="32">
        <v>46293</v>
      </c>
      <c r="C203" t="s">
        <v>54</v>
      </c>
      <c r="D203" t="s">
        <v>27</v>
      </c>
      <c r="E203" t="s">
        <v>463</v>
      </c>
      <c r="F203" t="s">
        <v>56</v>
      </c>
      <c r="G203" s="33">
        <v>3545831</v>
      </c>
      <c r="H203" s="34">
        <v>1.58077</v>
      </c>
      <c r="I203" s="34">
        <v>1.5806100000000001</v>
      </c>
      <c r="J203" s="35">
        <v>1.0122674157441618E-4</v>
      </c>
      <c r="K203" s="35">
        <v>3.0000000000000001E-3</v>
      </c>
      <c r="L203" s="36">
        <v>567.33295999978009</v>
      </c>
      <c r="M203" t="s">
        <v>573</v>
      </c>
      <c r="N203" t="s">
        <v>594</v>
      </c>
    </row>
    <row r="204" spans="1:14" x14ac:dyDescent="0.3">
      <c r="A204" t="s">
        <v>464</v>
      </c>
      <c r="B204" s="32">
        <v>46293</v>
      </c>
      <c r="C204" t="s">
        <v>43</v>
      </c>
      <c r="D204" t="s">
        <v>27</v>
      </c>
      <c r="E204" t="s">
        <v>465</v>
      </c>
      <c r="F204" t="s">
        <v>41</v>
      </c>
      <c r="G204" s="33">
        <v>3932216</v>
      </c>
      <c r="H204" s="34">
        <v>1.2903100000000001</v>
      </c>
      <c r="I204" s="34">
        <v>1.2922499999999999</v>
      </c>
      <c r="J204" s="35">
        <v>-1.5012574966143013E-3</v>
      </c>
      <c r="K204" s="35">
        <v>3.0000000000000001E-3</v>
      </c>
      <c r="L204" s="36">
        <v>-7628.4990399993349</v>
      </c>
      <c r="M204" t="s">
        <v>573</v>
      </c>
      <c r="N204" t="s">
        <v>594</v>
      </c>
    </row>
    <row r="205" spans="1:14" x14ac:dyDescent="0.3">
      <c r="A205" t="s">
        <v>466</v>
      </c>
      <c r="B205" s="32">
        <v>46293</v>
      </c>
      <c r="C205" t="s">
        <v>43</v>
      </c>
      <c r="D205" t="s">
        <v>27</v>
      </c>
      <c r="E205" t="s">
        <v>467</v>
      </c>
      <c r="F205" t="s">
        <v>41</v>
      </c>
      <c r="G205" s="33">
        <v>4193200</v>
      </c>
      <c r="H205" s="34">
        <v>1.2267999999999999</v>
      </c>
      <c r="I205" s="34">
        <v>1.2297199999999999</v>
      </c>
      <c r="J205" s="35">
        <v>-2.3745242819503904E-3</v>
      </c>
      <c r="K205" s="35">
        <v>3.0000000000000001E-3</v>
      </c>
      <c r="L205" s="36">
        <v>-12244.144000000142</v>
      </c>
      <c r="M205" t="s">
        <v>573</v>
      </c>
      <c r="N205" t="s">
        <v>594</v>
      </c>
    </row>
    <row r="206" spans="1:14" x14ac:dyDescent="0.3">
      <c r="A206" t="s">
        <v>468</v>
      </c>
      <c r="B206" s="32">
        <v>46293</v>
      </c>
      <c r="C206" t="s">
        <v>50</v>
      </c>
      <c r="D206" t="s">
        <v>25</v>
      </c>
      <c r="E206" t="s">
        <v>469</v>
      </c>
      <c r="F206" t="s">
        <v>52</v>
      </c>
      <c r="G206" s="33">
        <v>2319</v>
      </c>
      <c r="H206" s="34">
        <v>107.999</v>
      </c>
      <c r="I206" s="34">
        <v>108.229</v>
      </c>
      <c r="J206" s="35">
        <v>-2.1251235805560798E-3</v>
      </c>
      <c r="K206" s="35">
        <v>5.0000000000000001E-3</v>
      </c>
      <c r="L206" s="36">
        <v>-533.37000000000921</v>
      </c>
      <c r="M206" t="s">
        <v>573</v>
      </c>
      <c r="N206" t="s">
        <v>594</v>
      </c>
    </row>
    <row r="207" spans="1:14" x14ac:dyDescent="0.3">
      <c r="A207" t="s">
        <v>470</v>
      </c>
      <c r="B207" s="32">
        <v>46293</v>
      </c>
      <c r="C207" t="s">
        <v>43</v>
      </c>
      <c r="D207" t="s">
        <v>27</v>
      </c>
      <c r="E207" t="s">
        <v>471</v>
      </c>
      <c r="F207" t="s">
        <v>41</v>
      </c>
      <c r="G207" s="33">
        <v>121518</v>
      </c>
      <c r="H207" s="34">
        <v>0.93988000000000005</v>
      </c>
      <c r="I207" s="34">
        <v>0.93962000000000001</v>
      </c>
      <c r="J207" s="35">
        <v>2.767076052021434E-4</v>
      </c>
      <c r="K207" s="35">
        <v>3.0000000000000001E-3</v>
      </c>
      <c r="L207" s="36">
        <v>31.594680000004615</v>
      </c>
      <c r="M207" t="s">
        <v>573</v>
      </c>
      <c r="N207" t="s">
        <v>594</v>
      </c>
    </row>
    <row r="208" spans="1:14" x14ac:dyDescent="0.3">
      <c r="A208" t="s">
        <v>472</v>
      </c>
      <c r="B208" s="32">
        <v>46293</v>
      </c>
      <c r="C208" t="s">
        <v>50</v>
      </c>
      <c r="D208" t="s">
        <v>25</v>
      </c>
      <c r="E208" t="s">
        <v>473</v>
      </c>
      <c r="F208" t="s">
        <v>52</v>
      </c>
      <c r="G208" s="33">
        <v>15288</v>
      </c>
      <c r="H208" s="34">
        <v>96.075999999999993</v>
      </c>
      <c r="I208" s="34">
        <v>96.093000000000004</v>
      </c>
      <c r="J208" s="35">
        <v>-1.7691194988199056E-4</v>
      </c>
      <c r="K208" s="35">
        <v>5.0000000000000001E-3</v>
      </c>
      <c r="L208" s="36">
        <v>-259.89600000015469</v>
      </c>
      <c r="M208" t="s">
        <v>573</v>
      </c>
      <c r="N208" t="s">
        <v>594</v>
      </c>
    </row>
    <row r="209" spans="1:14" x14ac:dyDescent="0.3">
      <c r="A209" t="s">
        <v>474</v>
      </c>
      <c r="B209" s="32">
        <v>46293</v>
      </c>
      <c r="C209" t="s">
        <v>96</v>
      </c>
      <c r="D209" t="s">
        <v>26</v>
      </c>
      <c r="E209" t="s">
        <v>475</v>
      </c>
      <c r="F209" t="s">
        <v>52</v>
      </c>
      <c r="G209" s="33">
        <v>18191</v>
      </c>
      <c r="H209" s="34">
        <v>97.730999999999995</v>
      </c>
      <c r="I209" s="34">
        <v>97.887</v>
      </c>
      <c r="J209" s="35">
        <v>-1.5936743387784478E-3</v>
      </c>
      <c r="K209" s="35">
        <v>2.5000000000000001E-3</v>
      </c>
      <c r="L209" s="36">
        <v>-2837.7960000001076</v>
      </c>
      <c r="M209" t="s">
        <v>573</v>
      </c>
      <c r="N209" t="s">
        <v>594</v>
      </c>
    </row>
    <row r="210" spans="1:14" x14ac:dyDescent="0.3">
      <c r="A210" t="s">
        <v>476</v>
      </c>
      <c r="B210" s="32">
        <v>46293</v>
      </c>
      <c r="C210" t="s">
        <v>77</v>
      </c>
      <c r="D210" t="s">
        <v>26</v>
      </c>
      <c r="E210" t="s">
        <v>477</v>
      </c>
      <c r="F210" t="s">
        <v>48</v>
      </c>
      <c r="G210" s="33">
        <v>2973</v>
      </c>
      <c r="H210" s="34">
        <v>100.54900000000001</v>
      </c>
      <c r="I210" s="34">
        <v>100.42100000000001</v>
      </c>
      <c r="J210" s="35">
        <v>1.2746337917367893E-3</v>
      </c>
      <c r="K210" s="35">
        <v>2.5000000000000001E-3</v>
      </c>
      <c r="L210" s="36">
        <v>380.54400000000032</v>
      </c>
      <c r="M210" t="s">
        <v>573</v>
      </c>
      <c r="N210" t="s">
        <v>594</v>
      </c>
    </row>
    <row r="211" spans="1:14" x14ac:dyDescent="0.3">
      <c r="A211" t="s">
        <v>478</v>
      </c>
      <c r="B211" s="32">
        <v>46293</v>
      </c>
      <c r="C211" t="s">
        <v>77</v>
      </c>
      <c r="D211" t="s">
        <v>26</v>
      </c>
      <c r="E211" t="s">
        <v>479</v>
      </c>
      <c r="F211" t="s">
        <v>48</v>
      </c>
      <c r="G211" s="33">
        <v>7360</v>
      </c>
      <c r="H211" s="34">
        <v>103.84399999999999</v>
      </c>
      <c r="I211" s="34">
        <v>103.827</v>
      </c>
      <c r="J211" s="35">
        <v>1.6373390351253437E-4</v>
      </c>
      <c r="K211" s="35">
        <v>2.5000000000000001E-3</v>
      </c>
      <c r="L211" s="36">
        <v>125.11999999996988</v>
      </c>
      <c r="M211" t="s">
        <v>573</v>
      </c>
      <c r="N211" t="s">
        <v>594</v>
      </c>
    </row>
    <row r="212" spans="1:14" x14ac:dyDescent="0.3">
      <c r="A212" t="s">
        <v>480</v>
      </c>
      <c r="B212" s="32">
        <v>46293</v>
      </c>
      <c r="C212" t="s">
        <v>39</v>
      </c>
      <c r="D212" t="s">
        <v>24</v>
      </c>
      <c r="E212" t="s">
        <v>481</v>
      </c>
      <c r="F212" t="s">
        <v>41</v>
      </c>
      <c r="G212" s="33">
        <v>29919</v>
      </c>
      <c r="H212" s="34">
        <v>279.43</v>
      </c>
      <c r="I212" s="34">
        <v>279.35000000000002</v>
      </c>
      <c r="J212" s="35">
        <v>2.8637909432605718E-4</v>
      </c>
      <c r="K212" s="35">
        <v>0.01</v>
      </c>
      <c r="L212" s="36">
        <v>2393.5199999995239</v>
      </c>
      <c r="M212" t="s">
        <v>573</v>
      </c>
      <c r="N212" t="s">
        <v>594</v>
      </c>
    </row>
    <row r="213" spans="1:14" x14ac:dyDescent="0.3">
      <c r="A213" t="s">
        <v>482</v>
      </c>
      <c r="B213" s="32">
        <v>46293</v>
      </c>
      <c r="C213" t="s">
        <v>96</v>
      </c>
      <c r="D213" t="s">
        <v>26</v>
      </c>
      <c r="E213" t="s">
        <v>483</v>
      </c>
      <c r="F213" t="s">
        <v>52</v>
      </c>
      <c r="G213" s="33">
        <v>11079</v>
      </c>
      <c r="H213" s="34">
        <v>97.326999999999998</v>
      </c>
      <c r="I213" s="34">
        <v>97.426000000000002</v>
      </c>
      <c r="J213" s="35">
        <v>-1.0161558516207558E-3</v>
      </c>
      <c r="K213" s="35">
        <v>2.5000000000000001E-3</v>
      </c>
      <c r="L213" s="36">
        <v>-1096.8210000000415</v>
      </c>
      <c r="M213" t="s">
        <v>573</v>
      </c>
      <c r="N213" t="s">
        <v>594</v>
      </c>
    </row>
    <row r="214" spans="1:14" x14ac:dyDescent="0.3">
      <c r="A214" t="s">
        <v>484</v>
      </c>
      <c r="B214" s="32">
        <v>46293</v>
      </c>
      <c r="C214" t="s">
        <v>60</v>
      </c>
      <c r="D214" t="s">
        <v>24</v>
      </c>
      <c r="E214" t="s">
        <v>485</v>
      </c>
      <c r="F214" t="s">
        <v>56</v>
      </c>
      <c r="G214" s="33">
        <v>49946</v>
      </c>
      <c r="H214" s="34">
        <v>43.98</v>
      </c>
      <c r="I214" s="34">
        <v>44.06</v>
      </c>
      <c r="J214" s="35">
        <v>-1.815705855651507E-3</v>
      </c>
      <c r="K214" s="35">
        <v>0.01</v>
      </c>
      <c r="L214" s="36">
        <v>-3995.6800000002695</v>
      </c>
      <c r="M214" t="s">
        <v>573</v>
      </c>
      <c r="N214" t="s">
        <v>594</v>
      </c>
    </row>
    <row r="215" spans="1:14" x14ac:dyDescent="0.3">
      <c r="A215" t="s">
        <v>486</v>
      </c>
      <c r="B215" s="32">
        <v>46293</v>
      </c>
      <c r="C215" t="s">
        <v>60</v>
      </c>
      <c r="D215" t="s">
        <v>24</v>
      </c>
      <c r="E215" t="s">
        <v>487</v>
      </c>
      <c r="F215" t="s">
        <v>56</v>
      </c>
      <c r="G215" s="33">
        <v>37270</v>
      </c>
      <c r="H215" s="34">
        <v>275.68</v>
      </c>
      <c r="I215" s="34">
        <v>277</v>
      </c>
      <c r="J215" s="35">
        <v>-4.7653429602887839E-3</v>
      </c>
      <c r="K215" s="35">
        <v>0.01</v>
      </c>
      <c r="L215" s="36">
        <v>-49196.399999999747</v>
      </c>
      <c r="M215" t="s">
        <v>573</v>
      </c>
      <c r="N215" t="s">
        <v>594</v>
      </c>
    </row>
    <row r="216" spans="1:14" x14ac:dyDescent="0.3">
      <c r="A216" t="s">
        <v>488</v>
      </c>
      <c r="B216" s="32">
        <v>46293</v>
      </c>
      <c r="C216" t="s">
        <v>50</v>
      </c>
      <c r="D216" t="s">
        <v>25</v>
      </c>
      <c r="E216" t="s">
        <v>489</v>
      </c>
      <c r="F216" t="s">
        <v>52</v>
      </c>
      <c r="G216" s="33">
        <v>4976</v>
      </c>
      <c r="H216" s="34">
        <v>100.91800000000001</v>
      </c>
      <c r="I216" s="34">
        <v>101.286</v>
      </c>
      <c r="J216" s="35">
        <v>-3.6332760697430542E-3</v>
      </c>
      <c r="K216" s="35">
        <v>5.0000000000000001E-3</v>
      </c>
      <c r="L216" s="36">
        <v>-1831.1679999999751</v>
      </c>
      <c r="M216" t="s">
        <v>573</v>
      </c>
      <c r="N216" t="s">
        <v>594</v>
      </c>
    </row>
    <row r="217" spans="1:14" x14ac:dyDescent="0.3">
      <c r="A217" t="s">
        <v>490</v>
      </c>
      <c r="B217" s="32">
        <v>46293</v>
      </c>
      <c r="C217" t="s">
        <v>39</v>
      </c>
      <c r="D217" t="s">
        <v>24</v>
      </c>
      <c r="E217" t="s">
        <v>491</v>
      </c>
      <c r="F217" t="s">
        <v>41</v>
      </c>
      <c r="G217" s="33">
        <v>47423</v>
      </c>
      <c r="H217" s="34">
        <v>20.91</v>
      </c>
      <c r="I217" s="34">
        <v>20.84</v>
      </c>
      <c r="J217" s="35">
        <v>3.3589251439539486E-3</v>
      </c>
      <c r="K217" s="35">
        <v>0.01</v>
      </c>
      <c r="L217" s="36">
        <v>3319.6100000000133</v>
      </c>
      <c r="M217" t="s">
        <v>573</v>
      </c>
      <c r="N217" t="s">
        <v>594</v>
      </c>
    </row>
    <row r="218" spans="1:14" x14ac:dyDescent="0.3">
      <c r="A218" t="s">
        <v>492</v>
      </c>
      <c r="B218" s="32">
        <v>46293</v>
      </c>
      <c r="C218" t="s">
        <v>96</v>
      </c>
      <c r="D218" t="s">
        <v>105</v>
      </c>
      <c r="E218" t="s">
        <v>493</v>
      </c>
      <c r="F218" t="s">
        <v>52</v>
      </c>
      <c r="G218" s="33">
        <v>18779</v>
      </c>
      <c r="H218" s="34">
        <v>101.261</v>
      </c>
      <c r="I218" s="34">
        <v>101.179</v>
      </c>
      <c r="J218" s="35">
        <v>8.1044485515762788E-4</v>
      </c>
      <c r="K218" s="35"/>
      <c r="L218" s="36">
        <v>1539.8779999998806</v>
      </c>
      <c r="M218" t="s">
        <v>597</v>
      </c>
      <c r="N218" t="s">
        <v>594</v>
      </c>
    </row>
    <row r="219" spans="1:14" x14ac:dyDescent="0.3">
      <c r="A219" t="s">
        <v>494</v>
      </c>
      <c r="B219" s="32">
        <v>46293</v>
      </c>
      <c r="C219" t="s">
        <v>46</v>
      </c>
      <c r="D219" t="s">
        <v>25</v>
      </c>
      <c r="E219" t="s">
        <v>495</v>
      </c>
      <c r="F219" t="s">
        <v>48</v>
      </c>
      <c r="G219" s="33">
        <v>19346</v>
      </c>
      <c r="H219" s="34">
        <v>95.361000000000004</v>
      </c>
      <c r="I219" s="34">
        <v>95.361000000000004</v>
      </c>
      <c r="J219" s="35">
        <v>0</v>
      </c>
      <c r="K219" s="35">
        <v>5.0000000000000001E-3</v>
      </c>
      <c r="L219" s="36">
        <v>0</v>
      </c>
      <c r="M219" t="s">
        <v>573</v>
      </c>
      <c r="N219" t="s">
        <v>594</v>
      </c>
    </row>
    <row r="220" spans="1:14" x14ac:dyDescent="0.3">
      <c r="A220" t="s">
        <v>496</v>
      </c>
      <c r="B220" s="32">
        <v>46293</v>
      </c>
      <c r="C220" t="s">
        <v>43</v>
      </c>
      <c r="D220" t="s">
        <v>27</v>
      </c>
      <c r="E220" t="s">
        <v>497</v>
      </c>
      <c r="F220" t="s">
        <v>41</v>
      </c>
      <c r="G220" s="33">
        <v>1300558</v>
      </c>
      <c r="H220" s="34">
        <v>1.5128299999999999</v>
      </c>
      <c r="I220" s="34">
        <v>1.51065</v>
      </c>
      <c r="J220" s="35">
        <v>1.4430874127030408E-3</v>
      </c>
      <c r="K220" s="35">
        <v>3.0000000000000001E-3</v>
      </c>
      <c r="L220" s="36">
        <v>2835.2164399998032</v>
      </c>
      <c r="M220" t="s">
        <v>573</v>
      </c>
      <c r="N220" t="s">
        <v>594</v>
      </c>
    </row>
    <row r="221" spans="1:14" x14ac:dyDescent="0.3">
      <c r="A221" t="s">
        <v>498</v>
      </c>
      <c r="B221" s="32">
        <v>46293</v>
      </c>
      <c r="C221" t="s">
        <v>43</v>
      </c>
      <c r="D221" t="s">
        <v>27</v>
      </c>
      <c r="E221" t="s">
        <v>499</v>
      </c>
      <c r="F221" t="s">
        <v>41</v>
      </c>
      <c r="G221" s="33">
        <v>4685197</v>
      </c>
      <c r="H221" s="34">
        <v>1.5012099999999999</v>
      </c>
      <c r="I221" s="34">
        <v>1.4994799999999999</v>
      </c>
      <c r="J221" s="35">
        <v>1.1537332942086653E-3</v>
      </c>
      <c r="K221" s="35">
        <v>3.0000000000000001E-3</v>
      </c>
      <c r="L221" s="36">
        <v>8105.3908100000435</v>
      </c>
      <c r="M221" t="s">
        <v>573</v>
      </c>
      <c r="N221" t="s">
        <v>594</v>
      </c>
    </row>
    <row r="222" spans="1:14" x14ac:dyDescent="0.3">
      <c r="A222" t="s">
        <v>500</v>
      </c>
      <c r="B222" s="32">
        <v>46293</v>
      </c>
      <c r="C222" t="s">
        <v>77</v>
      </c>
      <c r="D222" t="s">
        <v>26</v>
      </c>
      <c r="E222" t="s">
        <v>501</v>
      </c>
      <c r="F222" t="s">
        <v>48</v>
      </c>
      <c r="G222" s="33">
        <v>17334</v>
      </c>
      <c r="H222" s="34">
        <v>99.305999999999997</v>
      </c>
      <c r="I222" s="34">
        <v>99.27</v>
      </c>
      <c r="J222" s="35">
        <v>3.6264732547598835E-4</v>
      </c>
      <c r="K222" s="35">
        <v>2.5000000000000001E-3</v>
      </c>
      <c r="L222" s="36">
        <v>624.02400000002365</v>
      </c>
      <c r="M222" t="s">
        <v>573</v>
      </c>
      <c r="N222" t="s">
        <v>594</v>
      </c>
    </row>
    <row r="223" spans="1:14" x14ac:dyDescent="0.3">
      <c r="A223" t="s">
        <v>502</v>
      </c>
      <c r="B223" s="32">
        <v>46293</v>
      </c>
      <c r="C223" t="s">
        <v>46</v>
      </c>
      <c r="D223" t="s">
        <v>25</v>
      </c>
      <c r="E223" t="s">
        <v>503</v>
      </c>
      <c r="F223" t="s">
        <v>48</v>
      </c>
      <c r="G223" s="33">
        <v>9101</v>
      </c>
      <c r="H223" s="34">
        <v>96.147000000000006</v>
      </c>
      <c r="I223" s="34">
        <v>96.299000000000007</v>
      </c>
      <c r="J223" s="35">
        <v>-1.5784172213626415E-3</v>
      </c>
      <c r="K223" s="35">
        <v>5.0000000000000001E-3</v>
      </c>
      <c r="L223" s="36">
        <v>-1383.3520000000094</v>
      </c>
      <c r="M223" t="s">
        <v>573</v>
      </c>
      <c r="N223" t="s">
        <v>594</v>
      </c>
    </row>
    <row r="224" spans="1:14" x14ac:dyDescent="0.3">
      <c r="A224" t="s">
        <v>504</v>
      </c>
      <c r="B224" s="32">
        <v>46293</v>
      </c>
      <c r="C224" t="s">
        <v>54</v>
      </c>
      <c r="D224" t="s">
        <v>27</v>
      </c>
      <c r="E224" t="s">
        <v>505</v>
      </c>
      <c r="F224" t="s">
        <v>56</v>
      </c>
      <c r="G224" s="33">
        <v>1085377</v>
      </c>
      <c r="H224" s="34">
        <v>1.06145</v>
      </c>
      <c r="I224" s="34">
        <v>1.05369</v>
      </c>
      <c r="J224" s="35">
        <v>7.3645948998282123E-3</v>
      </c>
      <c r="K224" s="35">
        <v>3.0000000000000001E-3</v>
      </c>
      <c r="L224" s="36">
        <v>8422.5255199999883</v>
      </c>
      <c r="M224" t="s">
        <v>595</v>
      </c>
      <c r="N224" t="s">
        <v>594</v>
      </c>
    </row>
    <row r="225" spans="1:14" x14ac:dyDescent="0.3">
      <c r="A225" t="s">
        <v>506</v>
      </c>
      <c r="B225" s="32">
        <v>46293</v>
      </c>
      <c r="C225" t="s">
        <v>60</v>
      </c>
      <c r="D225" t="s">
        <v>24</v>
      </c>
      <c r="E225" t="s">
        <v>507</v>
      </c>
      <c r="F225" t="s">
        <v>56</v>
      </c>
      <c r="G225" s="33">
        <v>2704</v>
      </c>
      <c r="H225" s="34">
        <v>182.1</v>
      </c>
      <c r="I225" s="34">
        <v>186.12</v>
      </c>
      <c r="J225" s="35">
        <v>-2.1598968407479099E-2</v>
      </c>
      <c r="K225" s="35">
        <v>0.01</v>
      </c>
      <c r="L225" s="36">
        <v>-10870.080000000027</v>
      </c>
      <c r="M225" t="s">
        <v>595</v>
      </c>
      <c r="N225" t="s">
        <v>594</v>
      </c>
    </row>
    <row r="226" spans="1:14" x14ac:dyDescent="0.3">
      <c r="A226" t="s">
        <v>508</v>
      </c>
      <c r="B226" s="32">
        <v>46293</v>
      </c>
      <c r="C226" t="s">
        <v>60</v>
      </c>
      <c r="D226" t="s">
        <v>24</v>
      </c>
      <c r="E226" t="s">
        <v>509</v>
      </c>
      <c r="F226" t="s">
        <v>56</v>
      </c>
      <c r="G226" s="33">
        <v>3958</v>
      </c>
      <c r="H226" s="34">
        <v>184.76</v>
      </c>
      <c r="I226" s="34">
        <v>183.32</v>
      </c>
      <c r="J226" s="35">
        <v>7.8551167357625885E-3</v>
      </c>
      <c r="K226" s="35">
        <v>0.01</v>
      </c>
      <c r="L226" s="36">
        <v>5699.5199999999913</v>
      </c>
      <c r="M226" t="s">
        <v>573</v>
      </c>
      <c r="N226" t="s">
        <v>594</v>
      </c>
    </row>
    <row r="227" spans="1:14" x14ac:dyDescent="0.3">
      <c r="A227" t="s">
        <v>510</v>
      </c>
      <c r="B227" s="32">
        <v>46293</v>
      </c>
      <c r="C227" t="s">
        <v>54</v>
      </c>
      <c r="D227" t="s">
        <v>27</v>
      </c>
      <c r="E227" t="s">
        <v>511</v>
      </c>
      <c r="F227" t="s">
        <v>56</v>
      </c>
      <c r="G227" s="33">
        <v>2393654</v>
      </c>
      <c r="H227" s="34">
        <v>1.0983799999999999</v>
      </c>
      <c r="I227" s="34">
        <v>1.0987899999999999</v>
      </c>
      <c r="J227" s="35">
        <v>-3.7313772422393858E-4</v>
      </c>
      <c r="K227" s="35">
        <v>3.0000000000000001E-3</v>
      </c>
      <c r="L227" s="36">
        <v>-981.3981400000514</v>
      </c>
      <c r="M227" t="s">
        <v>573</v>
      </c>
      <c r="N227" t="s">
        <v>594</v>
      </c>
    </row>
    <row r="228" spans="1:14" x14ac:dyDescent="0.3">
      <c r="A228" t="s">
        <v>512</v>
      </c>
      <c r="B228" s="32">
        <v>46293</v>
      </c>
      <c r="C228" t="s">
        <v>39</v>
      </c>
      <c r="D228" t="s">
        <v>24</v>
      </c>
      <c r="E228" t="s">
        <v>513</v>
      </c>
      <c r="F228" t="s">
        <v>41</v>
      </c>
      <c r="G228" s="33">
        <v>4854</v>
      </c>
      <c r="H228" s="34">
        <v>280.13</v>
      </c>
      <c r="I228" s="34">
        <v>278.66000000000003</v>
      </c>
      <c r="J228" s="35">
        <v>5.2752458192778665E-3</v>
      </c>
      <c r="K228" s="35">
        <v>0.01</v>
      </c>
      <c r="L228" s="36">
        <v>7135.3799999998564</v>
      </c>
      <c r="M228" t="s">
        <v>573</v>
      </c>
      <c r="N228" t="s">
        <v>594</v>
      </c>
    </row>
    <row r="229" spans="1:14" x14ac:dyDescent="0.3">
      <c r="A229" t="s">
        <v>514</v>
      </c>
      <c r="B229" s="32">
        <v>46293</v>
      </c>
      <c r="C229" t="s">
        <v>50</v>
      </c>
      <c r="D229" t="s">
        <v>25</v>
      </c>
      <c r="E229" t="s">
        <v>516</v>
      </c>
      <c r="F229" t="s">
        <v>52</v>
      </c>
      <c r="G229" s="33">
        <v>14624</v>
      </c>
      <c r="H229" s="34">
        <v>93.028000000000006</v>
      </c>
      <c r="I229" s="34">
        <v>93.272000000000006</v>
      </c>
      <c r="J229" s="35">
        <v>-2.6160048031563573E-3</v>
      </c>
      <c r="K229" s="35">
        <v>5.0000000000000001E-3</v>
      </c>
      <c r="L229" s="36">
        <v>-3568.2559999999967</v>
      </c>
      <c r="M229" t="s">
        <v>573</v>
      </c>
      <c r="N229" t="s">
        <v>594</v>
      </c>
    </row>
    <row r="230" spans="1:14" x14ac:dyDescent="0.3">
      <c r="A230" t="s">
        <v>517</v>
      </c>
      <c r="B230" s="32">
        <v>46293</v>
      </c>
      <c r="C230" t="s">
        <v>50</v>
      </c>
      <c r="D230" t="s">
        <v>25</v>
      </c>
      <c r="E230" t="s">
        <v>518</v>
      </c>
      <c r="F230" t="s">
        <v>52</v>
      </c>
      <c r="G230" s="33">
        <v>5182</v>
      </c>
      <c r="H230" s="34">
        <v>105.44799999999999</v>
      </c>
      <c r="I230" s="34">
        <v>105.197</v>
      </c>
      <c r="J230" s="35">
        <v>2.3859996007489811E-3</v>
      </c>
      <c r="K230" s="35">
        <v>5.0000000000000001E-3</v>
      </c>
      <c r="L230" s="36">
        <v>1300.6819999999511</v>
      </c>
      <c r="M230" t="s">
        <v>573</v>
      </c>
      <c r="N230" t="s">
        <v>594</v>
      </c>
    </row>
    <row r="231" spans="1:14" x14ac:dyDescent="0.3">
      <c r="A231" t="s">
        <v>519</v>
      </c>
      <c r="B231" s="32">
        <v>46293</v>
      </c>
      <c r="C231" t="s">
        <v>43</v>
      </c>
      <c r="D231" t="s">
        <v>27</v>
      </c>
      <c r="E231" t="s">
        <v>520</v>
      </c>
      <c r="F231" t="s">
        <v>41</v>
      </c>
      <c r="G231" s="33">
        <v>3420259</v>
      </c>
      <c r="H231" s="34">
        <v>1.5926899999999999</v>
      </c>
      <c r="I231" s="34">
        <v>1.5945400000000001</v>
      </c>
      <c r="J231" s="35">
        <v>-1.1602092139426602E-3</v>
      </c>
      <c r="K231" s="35">
        <v>3.0000000000000001E-3</v>
      </c>
      <c r="L231" s="36">
        <v>-6327.4791500004421</v>
      </c>
      <c r="M231" t="s">
        <v>573</v>
      </c>
      <c r="N231" t="s">
        <v>594</v>
      </c>
    </row>
    <row r="232" spans="1:14" x14ac:dyDescent="0.3">
      <c r="A232" t="s">
        <v>521</v>
      </c>
      <c r="B232" s="32">
        <v>46293</v>
      </c>
      <c r="C232" t="s">
        <v>43</v>
      </c>
      <c r="D232" t="s">
        <v>27</v>
      </c>
      <c r="E232" t="s">
        <v>522</v>
      </c>
      <c r="F232" t="s">
        <v>41</v>
      </c>
      <c r="G232" s="33">
        <v>4511997</v>
      </c>
      <c r="H232" s="34">
        <v>1.4697</v>
      </c>
      <c r="I232" s="34">
        <v>1.4680299999999999</v>
      </c>
      <c r="J232" s="35">
        <v>1.1375789323106887E-3</v>
      </c>
      <c r="K232" s="35">
        <v>3.0000000000000001E-3</v>
      </c>
      <c r="L232" s="36">
        <v>7535.034990000272</v>
      </c>
      <c r="M232" t="s">
        <v>573</v>
      </c>
      <c r="N232" t="s">
        <v>594</v>
      </c>
    </row>
    <row r="233" spans="1:14" x14ac:dyDescent="0.3">
      <c r="A233" t="s">
        <v>523</v>
      </c>
      <c r="B233" s="32">
        <v>46293</v>
      </c>
      <c r="C233" t="s">
        <v>50</v>
      </c>
      <c r="D233" t="s">
        <v>25</v>
      </c>
      <c r="E233" t="s">
        <v>524</v>
      </c>
      <c r="F233" t="s">
        <v>52</v>
      </c>
      <c r="G233" s="33">
        <v>11710</v>
      </c>
      <c r="H233" s="34">
        <v>92.805000000000007</v>
      </c>
      <c r="I233" s="34">
        <v>92.921000000000006</v>
      </c>
      <c r="J233" s="35">
        <v>-1.2483722732213349E-3</v>
      </c>
      <c r="K233" s="35">
        <v>5.0000000000000001E-3</v>
      </c>
      <c r="L233" s="36">
        <v>-1358.359999999996</v>
      </c>
      <c r="M233" t="s">
        <v>573</v>
      </c>
      <c r="N233" t="s">
        <v>594</v>
      </c>
    </row>
    <row r="234" spans="1:14" x14ac:dyDescent="0.3">
      <c r="A234" t="s">
        <v>525</v>
      </c>
      <c r="B234" s="32">
        <v>46293</v>
      </c>
      <c r="C234" t="s">
        <v>43</v>
      </c>
      <c r="D234" t="s">
        <v>27</v>
      </c>
      <c r="E234" t="s">
        <v>526</v>
      </c>
      <c r="F234" t="s">
        <v>41</v>
      </c>
      <c r="G234" s="33">
        <v>1247387</v>
      </c>
      <c r="H234" s="34">
        <v>1.27776</v>
      </c>
      <c r="I234" s="34">
        <v>1.27827</v>
      </c>
      <c r="J234" s="35">
        <v>-3.9897674200287141E-4</v>
      </c>
      <c r="K234" s="35">
        <v>3.0000000000000001E-3</v>
      </c>
      <c r="L234" s="36">
        <v>-636.16737000001308</v>
      </c>
      <c r="M234" t="s">
        <v>573</v>
      </c>
      <c r="N234" t="s">
        <v>594</v>
      </c>
    </row>
    <row r="235" spans="1:14" x14ac:dyDescent="0.3">
      <c r="A235" t="s">
        <v>527</v>
      </c>
      <c r="B235" s="32">
        <v>46293</v>
      </c>
      <c r="C235" t="s">
        <v>43</v>
      </c>
      <c r="D235" t="s">
        <v>27</v>
      </c>
      <c r="E235" t="s">
        <v>528</v>
      </c>
      <c r="F235" t="s">
        <v>41</v>
      </c>
      <c r="G235" s="33">
        <v>2089825</v>
      </c>
      <c r="H235" s="34">
        <v>0.79922000000000004</v>
      </c>
      <c r="I235" s="34">
        <v>0.80025000000000002</v>
      </c>
      <c r="J235" s="35">
        <v>-1.2870977819431119E-3</v>
      </c>
      <c r="K235" s="35">
        <v>3.0000000000000001E-3</v>
      </c>
      <c r="L235" s="36">
        <v>-2152.5197499999485</v>
      </c>
      <c r="M235" t="s">
        <v>573</v>
      </c>
      <c r="N235" t="s">
        <v>594</v>
      </c>
    </row>
    <row r="236" spans="1:14" x14ac:dyDescent="0.3">
      <c r="A236" t="s">
        <v>529</v>
      </c>
      <c r="B236" s="32">
        <v>46293</v>
      </c>
      <c r="C236" t="s">
        <v>39</v>
      </c>
      <c r="D236" t="s">
        <v>24</v>
      </c>
      <c r="E236" t="s">
        <v>530</v>
      </c>
      <c r="F236" t="s">
        <v>41</v>
      </c>
      <c r="G236" s="33">
        <v>12125</v>
      </c>
      <c r="H236" s="34">
        <v>59.25</v>
      </c>
      <c r="I236" s="34">
        <v>60.86</v>
      </c>
      <c r="J236" s="35">
        <v>-2.6454157081827134E-2</v>
      </c>
      <c r="K236" s="35">
        <v>0.01</v>
      </c>
      <c r="L236" s="36">
        <v>-19521.249999999993</v>
      </c>
      <c r="M236" t="s">
        <v>595</v>
      </c>
      <c r="N236" t="s">
        <v>594</v>
      </c>
    </row>
    <row r="237" spans="1:14" x14ac:dyDescent="0.3">
      <c r="A237" t="s">
        <v>531</v>
      </c>
      <c r="B237" s="32">
        <v>46293</v>
      </c>
      <c r="C237" t="s">
        <v>39</v>
      </c>
      <c r="D237" t="s">
        <v>24</v>
      </c>
      <c r="E237" t="s">
        <v>532</v>
      </c>
      <c r="F237" t="s">
        <v>41</v>
      </c>
      <c r="G237" s="33">
        <v>14140</v>
      </c>
      <c r="H237" s="34">
        <v>39.840000000000003</v>
      </c>
      <c r="I237" s="34">
        <v>39.82</v>
      </c>
      <c r="J237" s="35">
        <v>5.0226017076853661E-4</v>
      </c>
      <c r="K237" s="35">
        <v>0.01</v>
      </c>
      <c r="L237" s="36">
        <v>282.80000000004418</v>
      </c>
      <c r="M237" t="s">
        <v>573</v>
      </c>
      <c r="N237" t="s">
        <v>594</v>
      </c>
    </row>
    <row r="238" spans="1:14" x14ac:dyDescent="0.3">
      <c r="A238" t="s">
        <v>533</v>
      </c>
      <c r="B238" s="32">
        <v>46293</v>
      </c>
      <c r="C238" t="s">
        <v>46</v>
      </c>
      <c r="D238" t="s">
        <v>25</v>
      </c>
      <c r="E238" t="s">
        <v>534</v>
      </c>
      <c r="F238" t="s">
        <v>48</v>
      </c>
      <c r="G238" s="33">
        <v>13423</v>
      </c>
      <c r="H238" s="34">
        <v>103.155</v>
      </c>
      <c r="I238" s="34">
        <v>103.31399999999999</v>
      </c>
      <c r="J238" s="35">
        <v>-1.5389976189092653E-3</v>
      </c>
      <c r="K238" s="35">
        <v>5.0000000000000001E-3</v>
      </c>
      <c r="L238" s="36">
        <v>-2134.25699999989</v>
      </c>
      <c r="M238" t="s">
        <v>573</v>
      </c>
      <c r="N238" t="s">
        <v>594</v>
      </c>
    </row>
    <row r="239" spans="1:14" x14ac:dyDescent="0.3">
      <c r="A239" t="s">
        <v>535</v>
      </c>
      <c r="B239" s="32">
        <v>46293</v>
      </c>
      <c r="C239" t="s">
        <v>96</v>
      </c>
      <c r="D239" t="s">
        <v>26</v>
      </c>
      <c r="E239" t="s">
        <v>536</v>
      </c>
      <c r="F239" t="s">
        <v>52</v>
      </c>
      <c r="G239" s="33">
        <v>18844</v>
      </c>
      <c r="H239" s="34">
        <v>99.400999999999996</v>
      </c>
      <c r="I239" s="34">
        <v>99.358000000000004</v>
      </c>
      <c r="J239" s="35">
        <v>4.3277843756911526E-4</v>
      </c>
      <c r="K239" s="35">
        <v>2.5000000000000001E-3</v>
      </c>
      <c r="L239" s="36">
        <v>810.29199999985212</v>
      </c>
      <c r="M239" t="s">
        <v>573</v>
      </c>
      <c r="N239" t="s">
        <v>594</v>
      </c>
    </row>
    <row r="240" spans="1:14" x14ac:dyDescent="0.3">
      <c r="A240" t="s">
        <v>537</v>
      </c>
      <c r="B240" s="32">
        <v>46293</v>
      </c>
      <c r="C240" t="s">
        <v>50</v>
      </c>
      <c r="D240" t="s">
        <v>25</v>
      </c>
      <c r="E240" t="s">
        <v>538</v>
      </c>
      <c r="F240" t="s">
        <v>52</v>
      </c>
      <c r="G240" s="33">
        <v>5884</v>
      </c>
      <c r="H240" s="34">
        <v>93.203999999999994</v>
      </c>
      <c r="I240" s="34">
        <v>93.283000000000001</v>
      </c>
      <c r="J240" s="35">
        <v>-8.4688528456425857E-4</v>
      </c>
      <c r="K240" s="35">
        <v>5.0000000000000001E-3</v>
      </c>
      <c r="L240" s="36">
        <v>-464.83600000004549</v>
      </c>
      <c r="M240" t="s">
        <v>573</v>
      </c>
      <c r="N240" t="s">
        <v>594</v>
      </c>
    </row>
    <row r="241" spans="1:14" x14ac:dyDescent="0.3">
      <c r="A241" t="s">
        <v>539</v>
      </c>
      <c r="B241" s="32">
        <v>46293</v>
      </c>
      <c r="C241" t="s">
        <v>39</v>
      </c>
      <c r="D241" t="s">
        <v>24</v>
      </c>
      <c r="E241" t="s">
        <v>540</v>
      </c>
      <c r="F241" t="s">
        <v>41</v>
      </c>
      <c r="G241" s="33">
        <v>6888</v>
      </c>
      <c r="H241" s="34">
        <v>280.89</v>
      </c>
      <c r="I241" s="34">
        <v>281.05</v>
      </c>
      <c r="J241" s="35">
        <v>-5.6929371997874048E-4</v>
      </c>
      <c r="K241" s="35">
        <v>0.01</v>
      </c>
      <c r="L241" s="36">
        <v>-1102.0800000001723</v>
      </c>
      <c r="M241" t="s">
        <v>573</v>
      </c>
      <c r="N241" t="s">
        <v>594</v>
      </c>
    </row>
    <row r="242" spans="1:14" x14ac:dyDescent="0.3">
      <c r="A242" t="s">
        <v>541</v>
      </c>
      <c r="B242" s="32">
        <v>46293</v>
      </c>
      <c r="C242" t="s">
        <v>54</v>
      </c>
      <c r="D242" t="s">
        <v>27</v>
      </c>
      <c r="E242" t="s">
        <v>542</v>
      </c>
      <c r="F242" t="s">
        <v>56</v>
      </c>
      <c r="G242" s="33">
        <v>1495568</v>
      </c>
      <c r="H242" s="34">
        <v>1.3603700000000001</v>
      </c>
      <c r="I242" s="34">
        <v>1.3483000000000001</v>
      </c>
      <c r="J242" s="35">
        <v>8.9520136468145255E-3</v>
      </c>
      <c r="K242" s="35">
        <v>3.0000000000000001E-3</v>
      </c>
      <c r="L242" s="36">
        <v>18051.505760000036</v>
      </c>
      <c r="M242" t="s">
        <v>595</v>
      </c>
      <c r="N242" t="s">
        <v>594</v>
      </c>
    </row>
    <row r="243" spans="1:14" x14ac:dyDescent="0.3">
      <c r="A243" t="s">
        <v>543</v>
      </c>
      <c r="B243" s="32">
        <v>46293</v>
      </c>
      <c r="C243" t="s">
        <v>39</v>
      </c>
      <c r="D243" t="s">
        <v>24</v>
      </c>
      <c r="E243" t="s">
        <v>544</v>
      </c>
      <c r="F243" t="s">
        <v>41</v>
      </c>
      <c r="G243" s="33">
        <v>9165</v>
      </c>
      <c r="H243" s="34">
        <v>121.36</v>
      </c>
      <c r="I243" s="34">
        <v>121.6</v>
      </c>
      <c r="J243" s="35">
        <v>-1.9736842105262738E-3</v>
      </c>
      <c r="K243" s="35">
        <v>0.01</v>
      </c>
      <c r="L243" s="36">
        <v>-2199.5999999999531</v>
      </c>
      <c r="M243" t="s">
        <v>573</v>
      </c>
      <c r="N243" t="s">
        <v>594</v>
      </c>
    </row>
    <row r="244" spans="1:14" x14ac:dyDescent="0.3">
      <c r="A244" t="s">
        <v>545</v>
      </c>
      <c r="B244" s="32">
        <v>46293</v>
      </c>
      <c r="C244" t="s">
        <v>60</v>
      </c>
      <c r="D244" t="s">
        <v>24</v>
      </c>
      <c r="E244" t="s">
        <v>546</v>
      </c>
      <c r="F244" t="s">
        <v>56</v>
      </c>
      <c r="G244" s="33">
        <v>32121</v>
      </c>
      <c r="H244" s="34">
        <v>187.7</v>
      </c>
      <c r="I244" s="34">
        <v>188.87</v>
      </c>
      <c r="J244" s="35">
        <v>-6.1947371207709849E-3</v>
      </c>
      <c r="K244" s="35">
        <v>0.01</v>
      </c>
      <c r="L244" s="36">
        <v>-37581.570000000509</v>
      </c>
      <c r="M244" t="s">
        <v>573</v>
      </c>
      <c r="N244" t="s">
        <v>594</v>
      </c>
    </row>
    <row r="245" spans="1:14" x14ac:dyDescent="0.3">
      <c r="A245" t="s">
        <v>547</v>
      </c>
      <c r="B245" s="32">
        <v>46293</v>
      </c>
      <c r="C245" t="s">
        <v>96</v>
      </c>
      <c r="D245" t="s">
        <v>26</v>
      </c>
      <c r="E245" t="s">
        <v>548</v>
      </c>
      <c r="F245" t="s">
        <v>52</v>
      </c>
      <c r="G245" s="33">
        <v>19087</v>
      </c>
      <c r="H245" s="34">
        <v>97.918999999999997</v>
      </c>
      <c r="I245" s="34">
        <v>97.853999999999999</v>
      </c>
      <c r="J245" s="35">
        <v>6.6425491037666042E-4</v>
      </c>
      <c r="K245" s="35">
        <v>2.5000000000000001E-3</v>
      </c>
      <c r="L245" s="36">
        <v>1240.6549999999565</v>
      </c>
      <c r="M245" t="s">
        <v>573</v>
      </c>
      <c r="N245" t="s">
        <v>594</v>
      </c>
    </row>
    <row r="246" spans="1:14" x14ac:dyDescent="0.3">
      <c r="A246" t="s">
        <v>549</v>
      </c>
      <c r="B246" s="32">
        <v>46293</v>
      </c>
      <c r="C246" t="s">
        <v>46</v>
      </c>
      <c r="D246" t="s">
        <v>25</v>
      </c>
      <c r="E246" t="s">
        <v>550</v>
      </c>
      <c r="F246" t="s">
        <v>48</v>
      </c>
      <c r="G246" s="33">
        <v>8457</v>
      </c>
      <c r="H246" s="34">
        <v>96.882999999999996</v>
      </c>
      <c r="I246" s="34">
        <v>97.016999999999996</v>
      </c>
      <c r="J246" s="35">
        <v>-1.3812012327736412E-3</v>
      </c>
      <c r="K246" s="35">
        <v>5.0000000000000001E-3</v>
      </c>
      <c r="L246" s="36">
        <v>-1133.2380000000028</v>
      </c>
      <c r="M246" t="s">
        <v>573</v>
      </c>
      <c r="N246" t="s">
        <v>594</v>
      </c>
    </row>
    <row r="247" spans="1:14" x14ac:dyDescent="0.3">
      <c r="A247" t="s">
        <v>551</v>
      </c>
      <c r="B247" s="32">
        <v>46293</v>
      </c>
      <c r="C247" t="s">
        <v>50</v>
      </c>
      <c r="D247" t="s">
        <v>25</v>
      </c>
      <c r="E247" t="s">
        <v>552</v>
      </c>
      <c r="F247" t="s">
        <v>52</v>
      </c>
      <c r="G247" s="33">
        <v>13298</v>
      </c>
      <c r="H247" s="34">
        <v>106.86199999999999</v>
      </c>
      <c r="I247" s="34">
        <v>107.383</v>
      </c>
      <c r="J247" s="35">
        <v>-4.8517921831202409E-3</v>
      </c>
      <c r="K247" s="35">
        <v>5.0000000000000001E-3</v>
      </c>
      <c r="L247" s="36">
        <v>-6928.2580000000107</v>
      </c>
      <c r="M247" t="s">
        <v>573</v>
      </c>
      <c r="N247" t="s">
        <v>594</v>
      </c>
    </row>
    <row r="248" spans="1:14" x14ac:dyDescent="0.3">
      <c r="A248" t="s">
        <v>553</v>
      </c>
      <c r="B248" s="32">
        <v>46293</v>
      </c>
      <c r="C248" t="s">
        <v>39</v>
      </c>
      <c r="D248" t="s">
        <v>24</v>
      </c>
      <c r="E248" t="s">
        <v>554</v>
      </c>
      <c r="F248" t="s">
        <v>41</v>
      </c>
      <c r="G248" s="33">
        <v>24907</v>
      </c>
      <c r="H248" s="34">
        <v>246</v>
      </c>
      <c r="I248" s="34">
        <v>246.19</v>
      </c>
      <c r="J248" s="35">
        <v>-7.7176164750801307E-4</v>
      </c>
      <c r="K248" s="35">
        <v>0.01</v>
      </c>
      <c r="L248" s="36">
        <v>-4732.3299999999435</v>
      </c>
      <c r="M248" t="s">
        <v>573</v>
      </c>
      <c r="N248" t="s">
        <v>594</v>
      </c>
    </row>
    <row r="249" spans="1:14" x14ac:dyDescent="0.3">
      <c r="A249" t="s">
        <v>555</v>
      </c>
      <c r="B249" s="32">
        <v>46293</v>
      </c>
      <c r="C249" t="s">
        <v>50</v>
      </c>
      <c r="D249" t="s">
        <v>25</v>
      </c>
      <c r="E249" t="s">
        <v>556</v>
      </c>
      <c r="F249" t="s">
        <v>52</v>
      </c>
      <c r="G249" s="33">
        <v>8361</v>
      </c>
      <c r="H249" s="34">
        <v>105.095</v>
      </c>
      <c r="I249" s="34">
        <v>105.092</v>
      </c>
      <c r="J249" s="35">
        <v>2.8546416473186481E-5</v>
      </c>
      <c r="K249" s="35">
        <v>5.0000000000000001E-3</v>
      </c>
      <c r="L249" s="36">
        <v>25.083000000000951</v>
      </c>
      <c r="M249" t="s">
        <v>573</v>
      </c>
      <c r="N249" t="s">
        <v>594</v>
      </c>
    </row>
    <row r="250" spans="1:14" x14ac:dyDescent="0.3">
      <c r="A250" t="s">
        <v>557</v>
      </c>
      <c r="B250" s="32">
        <v>46293</v>
      </c>
      <c r="C250" t="s">
        <v>96</v>
      </c>
      <c r="D250" t="s">
        <v>26</v>
      </c>
      <c r="E250" t="s">
        <v>558</v>
      </c>
      <c r="F250" t="s">
        <v>52</v>
      </c>
      <c r="G250" s="33">
        <v>14380</v>
      </c>
      <c r="H250" s="34">
        <v>99.76</v>
      </c>
      <c r="I250" s="34"/>
      <c r="J250" s="35"/>
      <c r="K250" s="35">
        <v>2.5000000000000001E-3</v>
      </c>
      <c r="L250" s="36"/>
      <c r="M250" t="s">
        <v>596</v>
      </c>
      <c r="N250" t="s">
        <v>594</v>
      </c>
    </row>
    <row r="251" spans="1:14" x14ac:dyDescent="0.3">
      <c r="A251" t="s">
        <v>559</v>
      </c>
      <c r="B251" s="32">
        <v>46293</v>
      </c>
      <c r="C251" t="s">
        <v>39</v>
      </c>
      <c r="D251" t="s">
        <v>24</v>
      </c>
      <c r="E251" t="s">
        <v>560</v>
      </c>
      <c r="F251" t="s">
        <v>41</v>
      </c>
      <c r="G251" s="33">
        <v>3429</v>
      </c>
      <c r="H251" s="34">
        <v>273.49</v>
      </c>
      <c r="I251" s="34">
        <v>274.29000000000002</v>
      </c>
      <c r="J251" s="35">
        <v>-2.9166210944621069E-3</v>
      </c>
      <c r="K251" s="35">
        <v>0.01</v>
      </c>
      <c r="L251" s="36">
        <v>-2743.2000000000389</v>
      </c>
      <c r="M251" t="s">
        <v>573</v>
      </c>
      <c r="N251" t="s">
        <v>594</v>
      </c>
    </row>
    <row r="252" spans="1:14" x14ac:dyDescent="0.3">
      <c r="B252" s="32"/>
      <c r="G252" s="33"/>
      <c r="H252" s="34"/>
      <c r="I252" s="34"/>
      <c r="J252" s="35"/>
      <c r="K252" s="35"/>
      <c r="L252" s="36"/>
    </row>
    <row r="253" spans="1:14" x14ac:dyDescent="0.3">
      <c r="B253" s="32"/>
      <c r="G253" s="33"/>
      <c r="H253" s="34"/>
      <c r="I253" s="34"/>
      <c r="J253" s="35"/>
      <c r="K253" s="35"/>
      <c r="L253" s="36"/>
    </row>
    <row r="254" spans="1:14" x14ac:dyDescent="0.3">
      <c r="B254" s="32"/>
      <c r="G254" s="33"/>
      <c r="H254" s="34"/>
      <c r="I254" s="34"/>
      <c r="J254" s="35"/>
      <c r="K254" s="35"/>
      <c r="L254" s="36"/>
    </row>
    <row r="255" spans="1:14" x14ac:dyDescent="0.3">
      <c r="B255" s="32"/>
      <c r="G255" s="33"/>
      <c r="H255" s="34"/>
      <c r="I255" s="34"/>
      <c r="J255" s="35"/>
      <c r="K255" s="35"/>
      <c r="L255" s="3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6CAE1-8D7A-47B3-8D3B-C748C1D3AA3E}">
  <sheetPr codeName="Sheet7"/>
  <dimension ref="A1:O255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9.5546875" bestFit="1" customWidth="1"/>
    <col min="2" max="2" width="13.109375" bestFit="1" customWidth="1"/>
    <col min="3" max="4" width="15.88671875" bestFit="1" customWidth="1"/>
    <col min="5" max="5" width="10.33203125" bestFit="1" customWidth="1"/>
    <col min="6" max="6" width="8.5546875" bestFit="1" customWidth="1"/>
    <col min="8" max="8" width="9.5546875" bestFit="1" customWidth="1"/>
    <col min="9" max="9" width="16.109375" bestFit="1" customWidth="1"/>
    <col min="10" max="10" width="11" bestFit="1" customWidth="1"/>
    <col min="11" max="11" width="11.88671875" bestFit="1" customWidth="1"/>
    <col min="12" max="12" width="10.109375" bestFit="1" customWidth="1"/>
    <col min="13" max="13" width="7.6640625" bestFit="1" customWidth="1"/>
    <col min="14" max="14" width="9" bestFit="1" customWidth="1"/>
    <col min="15" max="15" width="10.109375" bestFit="1" customWidth="1"/>
  </cols>
  <sheetData>
    <row r="1" spans="1:15" x14ac:dyDescent="0.3">
      <c r="A1" s="31" t="s">
        <v>29</v>
      </c>
      <c r="B1" s="31" t="s">
        <v>30</v>
      </c>
      <c r="C1" s="31" t="s">
        <v>31</v>
      </c>
      <c r="D1" s="31" t="s">
        <v>32</v>
      </c>
      <c r="E1" s="31" t="s">
        <v>33</v>
      </c>
      <c r="F1" s="31" t="s">
        <v>34</v>
      </c>
      <c r="G1" s="31" t="s">
        <v>35</v>
      </c>
      <c r="H1" s="31" t="s">
        <v>36</v>
      </c>
      <c r="I1" s="31" t="s">
        <v>37</v>
      </c>
      <c r="J1" s="31" t="s">
        <v>590</v>
      </c>
      <c r="K1" s="31" t="s">
        <v>591</v>
      </c>
      <c r="L1" s="31" t="s">
        <v>592</v>
      </c>
      <c r="M1" s="31" t="s">
        <v>567</v>
      </c>
      <c r="N1" s="31" t="s">
        <v>593</v>
      </c>
      <c r="O1" s="31" t="s">
        <v>599</v>
      </c>
    </row>
    <row r="2" spans="1:15" x14ac:dyDescent="0.3">
      <c r="A2" t="s">
        <v>186</v>
      </c>
      <c r="B2" s="32">
        <v>46293</v>
      </c>
      <c r="C2" t="s">
        <v>39</v>
      </c>
      <c r="D2" t="s">
        <v>24</v>
      </c>
      <c r="E2" t="s">
        <v>187</v>
      </c>
      <c r="F2" t="s">
        <v>41</v>
      </c>
      <c r="G2" s="33">
        <v>36522</v>
      </c>
      <c r="H2" s="34">
        <v>138.44</v>
      </c>
      <c r="I2" s="34">
        <v>136.28</v>
      </c>
      <c r="J2" s="35">
        <v>1.5849721162312862E-2</v>
      </c>
      <c r="K2" s="35">
        <v>0.01</v>
      </c>
      <c r="L2" s="36">
        <v>78887.519999999873</v>
      </c>
      <c r="M2" t="s">
        <v>595</v>
      </c>
      <c r="N2" t="s">
        <v>594</v>
      </c>
      <c r="O2" s="37">
        <v>78887.519999999873</v>
      </c>
    </row>
    <row r="3" spans="1:15" x14ac:dyDescent="0.3">
      <c r="A3" t="s">
        <v>199</v>
      </c>
      <c r="B3" s="32">
        <v>46293</v>
      </c>
      <c r="C3" t="s">
        <v>39</v>
      </c>
      <c r="D3" t="s">
        <v>24</v>
      </c>
      <c r="E3" t="s">
        <v>200</v>
      </c>
      <c r="F3" t="s">
        <v>41</v>
      </c>
      <c r="G3" s="33">
        <v>32116</v>
      </c>
      <c r="H3" s="34">
        <v>77.010000000000005</v>
      </c>
      <c r="I3" s="34">
        <v>75.66</v>
      </c>
      <c r="J3" s="35">
        <v>1.7842981760507647E-2</v>
      </c>
      <c r="K3" s="35">
        <v>0.01</v>
      </c>
      <c r="L3" s="36">
        <v>43356.600000000275</v>
      </c>
      <c r="M3" t="s">
        <v>595</v>
      </c>
      <c r="N3" t="s">
        <v>594</v>
      </c>
      <c r="O3" s="37">
        <v>43356.600000000275</v>
      </c>
    </row>
    <row r="4" spans="1:15" x14ac:dyDescent="0.3">
      <c r="A4" t="s">
        <v>160</v>
      </c>
      <c r="B4" s="32">
        <v>46290</v>
      </c>
      <c r="C4" t="s">
        <v>39</v>
      </c>
      <c r="D4" t="s">
        <v>24</v>
      </c>
      <c r="E4" t="s">
        <v>161</v>
      </c>
      <c r="F4" t="s">
        <v>41</v>
      </c>
      <c r="G4" s="33">
        <v>42229</v>
      </c>
      <c r="H4" s="34">
        <v>79.540000000000006</v>
      </c>
      <c r="I4" s="34">
        <v>80.38</v>
      </c>
      <c r="J4" s="35">
        <v>-1.0450360786265106E-2</v>
      </c>
      <c r="K4" s="35">
        <v>0.01</v>
      </c>
      <c r="L4" s="36">
        <v>-35472.359999999542</v>
      </c>
      <c r="M4" t="s">
        <v>595</v>
      </c>
      <c r="N4" t="s">
        <v>598</v>
      </c>
      <c r="O4" s="37">
        <v>35472.359999999542</v>
      </c>
    </row>
    <row r="5" spans="1:15" x14ac:dyDescent="0.3">
      <c r="A5" t="s">
        <v>265</v>
      </c>
      <c r="B5" s="32">
        <v>46293</v>
      </c>
      <c r="C5" t="s">
        <v>60</v>
      </c>
      <c r="D5" t="s">
        <v>24</v>
      </c>
      <c r="E5" t="s">
        <v>266</v>
      </c>
      <c r="F5" t="s">
        <v>56</v>
      </c>
      <c r="G5" s="33">
        <v>10287</v>
      </c>
      <c r="H5" s="34">
        <v>94.05</v>
      </c>
      <c r="I5" s="34">
        <v>96.64</v>
      </c>
      <c r="J5" s="35">
        <v>-2.6800496688741758E-2</v>
      </c>
      <c r="K5" s="35">
        <v>0.01</v>
      </c>
      <c r="L5" s="36">
        <v>-26643.330000000034</v>
      </c>
      <c r="M5" t="s">
        <v>595</v>
      </c>
      <c r="N5" t="s">
        <v>594</v>
      </c>
      <c r="O5" s="37">
        <v>26643.330000000034</v>
      </c>
    </row>
    <row r="6" spans="1:15" x14ac:dyDescent="0.3">
      <c r="A6" t="s">
        <v>234</v>
      </c>
      <c r="B6" s="32">
        <v>46293</v>
      </c>
      <c r="C6" t="s">
        <v>50</v>
      </c>
      <c r="D6" t="s">
        <v>25</v>
      </c>
      <c r="E6" t="s">
        <v>235</v>
      </c>
      <c r="F6" t="s">
        <v>52</v>
      </c>
      <c r="G6" s="33">
        <v>15923</v>
      </c>
      <c r="H6" s="34">
        <v>107.74299999999999</v>
      </c>
      <c r="I6" s="34">
        <v>106.166</v>
      </c>
      <c r="J6" s="35">
        <v>1.4854096415048116E-2</v>
      </c>
      <c r="K6" s="35">
        <v>5.0000000000000001E-3</v>
      </c>
      <c r="L6" s="36">
        <v>25110.570999999971</v>
      </c>
      <c r="M6" t="s">
        <v>595</v>
      </c>
      <c r="N6" t="s">
        <v>594</v>
      </c>
      <c r="O6" s="37">
        <v>25110.570999999971</v>
      </c>
    </row>
    <row r="7" spans="1:15" x14ac:dyDescent="0.3">
      <c r="A7" t="s">
        <v>529</v>
      </c>
      <c r="B7" s="32">
        <v>46293</v>
      </c>
      <c r="C7" t="s">
        <v>39</v>
      </c>
      <c r="D7" t="s">
        <v>24</v>
      </c>
      <c r="E7" t="s">
        <v>530</v>
      </c>
      <c r="F7" t="s">
        <v>41</v>
      </c>
      <c r="G7" s="33">
        <v>12125</v>
      </c>
      <c r="H7" s="34">
        <v>59.25</v>
      </c>
      <c r="I7" s="34">
        <v>60.86</v>
      </c>
      <c r="J7" s="35">
        <v>-2.6454157081827134E-2</v>
      </c>
      <c r="K7" s="35">
        <v>0.01</v>
      </c>
      <c r="L7" s="36">
        <v>-19521.249999999993</v>
      </c>
      <c r="M7" t="s">
        <v>595</v>
      </c>
      <c r="N7" t="s">
        <v>594</v>
      </c>
      <c r="O7" s="37">
        <v>19521.249999999993</v>
      </c>
    </row>
    <row r="8" spans="1:15" x14ac:dyDescent="0.3">
      <c r="A8" t="s">
        <v>541</v>
      </c>
      <c r="B8" s="32">
        <v>46293</v>
      </c>
      <c r="C8" t="s">
        <v>54</v>
      </c>
      <c r="D8" t="s">
        <v>27</v>
      </c>
      <c r="E8" t="s">
        <v>542</v>
      </c>
      <c r="F8" t="s">
        <v>56</v>
      </c>
      <c r="G8" s="33">
        <v>1495568</v>
      </c>
      <c r="H8" s="34">
        <v>1.3603700000000001</v>
      </c>
      <c r="I8" s="34">
        <v>1.3483000000000001</v>
      </c>
      <c r="J8" s="35">
        <v>8.9520136468145255E-3</v>
      </c>
      <c r="K8" s="35">
        <v>3.0000000000000001E-3</v>
      </c>
      <c r="L8" s="36">
        <v>18051.505760000036</v>
      </c>
      <c r="M8" t="s">
        <v>595</v>
      </c>
      <c r="N8" t="s">
        <v>594</v>
      </c>
      <c r="O8" s="37">
        <v>18051.505760000036</v>
      </c>
    </row>
    <row r="9" spans="1:15" x14ac:dyDescent="0.3">
      <c r="A9" t="s">
        <v>427</v>
      </c>
      <c r="B9" s="32">
        <v>46293</v>
      </c>
      <c r="C9" t="s">
        <v>39</v>
      </c>
      <c r="D9" t="s">
        <v>24</v>
      </c>
      <c r="E9" t="s">
        <v>428</v>
      </c>
      <c r="F9" t="s">
        <v>41</v>
      </c>
      <c r="G9" s="33">
        <v>19545</v>
      </c>
      <c r="H9" s="34">
        <v>63.34</v>
      </c>
      <c r="I9" s="34">
        <v>62.46</v>
      </c>
      <c r="J9" s="35">
        <v>1.4089016970861392E-2</v>
      </c>
      <c r="K9" s="35">
        <v>0.01</v>
      </c>
      <c r="L9" s="36">
        <v>17199.600000000049</v>
      </c>
      <c r="M9" t="s">
        <v>595</v>
      </c>
      <c r="N9" t="s">
        <v>594</v>
      </c>
      <c r="O9" s="37">
        <v>17199.600000000049</v>
      </c>
    </row>
    <row r="10" spans="1:15" x14ac:dyDescent="0.3">
      <c r="A10" t="s">
        <v>395</v>
      </c>
      <c r="B10" s="32">
        <v>46290</v>
      </c>
      <c r="C10" t="s">
        <v>60</v>
      </c>
      <c r="D10" t="s">
        <v>24</v>
      </c>
      <c r="E10" t="s">
        <v>396</v>
      </c>
      <c r="F10" t="s">
        <v>56</v>
      </c>
      <c r="G10" s="33">
        <v>37282</v>
      </c>
      <c r="H10" s="34">
        <v>36.22</v>
      </c>
      <c r="I10" s="34">
        <v>35.83</v>
      </c>
      <c r="J10" s="35">
        <v>1.0884733463578024E-2</v>
      </c>
      <c r="K10" s="35">
        <v>0.01</v>
      </c>
      <c r="L10" s="36">
        <v>14539.980000000021</v>
      </c>
      <c r="M10" t="s">
        <v>595</v>
      </c>
      <c r="N10" t="s">
        <v>598</v>
      </c>
      <c r="O10" s="37">
        <v>14539.980000000021</v>
      </c>
    </row>
    <row r="11" spans="1:15" x14ac:dyDescent="0.3">
      <c r="A11" t="s">
        <v>74</v>
      </c>
      <c r="B11" s="32">
        <v>46293</v>
      </c>
      <c r="C11" t="s">
        <v>39</v>
      </c>
      <c r="D11" t="s">
        <v>24</v>
      </c>
      <c r="E11" t="s">
        <v>75</v>
      </c>
      <c r="F11" t="s">
        <v>41</v>
      </c>
      <c r="G11" s="33">
        <v>9250</v>
      </c>
      <c r="H11" s="34">
        <v>60</v>
      </c>
      <c r="I11" s="34">
        <v>61.38</v>
      </c>
      <c r="J11" s="35">
        <v>-2.2482893450635425E-2</v>
      </c>
      <c r="K11" s="35">
        <v>0.01</v>
      </c>
      <c r="L11" s="36">
        <v>-12765.000000000024</v>
      </c>
      <c r="M11" t="s">
        <v>595</v>
      </c>
      <c r="N11" t="s">
        <v>594</v>
      </c>
      <c r="O11" s="37">
        <v>12765.000000000024</v>
      </c>
    </row>
    <row r="12" spans="1:15" x14ac:dyDescent="0.3">
      <c r="A12" t="s">
        <v>399</v>
      </c>
      <c r="B12" s="32">
        <v>46293</v>
      </c>
      <c r="C12" t="s">
        <v>46</v>
      </c>
      <c r="D12" t="s">
        <v>25</v>
      </c>
      <c r="E12" t="s">
        <v>400</v>
      </c>
      <c r="F12" t="s">
        <v>48</v>
      </c>
      <c r="G12" s="33">
        <v>17617</v>
      </c>
      <c r="H12" s="34">
        <v>102.614</v>
      </c>
      <c r="I12" s="34">
        <v>103.32</v>
      </c>
      <c r="J12" s="35">
        <v>-6.8331397599689205E-3</v>
      </c>
      <c r="K12" s="35">
        <v>5.0000000000000001E-3</v>
      </c>
      <c r="L12" s="36">
        <v>-12437.601999999804</v>
      </c>
      <c r="M12" t="s">
        <v>595</v>
      </c>
      <c r="N12" t="s">
        <v>594</v>
      </c>
      <c r="O12" s="37">
        <v>12437.601999999804</v>
      </c>
    </row>
    <row r="13" spans="1:15" x14ac:dyDescent="0.3">
      <c r="A13" t="s">
        <v>324</v>
      </c>
      <c r="B13" s="32">
        <v>46293</v>
      </c>
      <c r="C13" t="s">
        <v>60</v>
      </c>
      <c r="D13" t="s">
        <v>24</v>
      </c>
      <c r="E13" t="s">
        <v>325</v>
      </c>
      <c r="F13" t="s">
        <v>56</v>
      </c>
      <c r="G13" s="33">
        <v>4901</v>
      </c>
      <c r="H13" s="34">
        <v>148.32</v>
      </c>
      <c r="I13" s="34">
        <v>145.88999999999999</v>
      </c>
      <c r="J13" s="35">
        <v>1.6656384947563281E-2</v>
      </c>
      <c r="K13" s="35">
        <v>0.01</v>
      </c>
      <c r="L13" s="36">
        <v>11909.430000000033</v>
      </c>
      <c r="M13" t="s">
        <v>595</v>
      </c>
      <c r="N13" t="s">
        <v>594</v>
      </c>
      <c r="O13" s="37">
        <v>11909.430000000033</v>
      </c>
    </row>
    <row r="14" spans="1:15" x14ac:dyDescent="0.3">
      <c r="A14" t="s">
        <v>506</v>
      </c>
      <c r="B14" s="32">
        <v>46293</v>
      </c>
      <c r="C14" t="s">
        <v>60</v>
      </c>
      <c r="D14" t="s">
        <v>24</v>
      </c>
      <c r="E14" t="s">
        <v>507</v>
      </c>
      <c r="F14" t="s">
        <v>56</v>
      </c>
      <c r="G14" s="33">
        <v>2704</v>
      </c>
      <c r="H14" s="34">
        <v>182.1</v>
      </c>
      <c r="I14" s="34">
        <v>186.12</v>
      </c>
      <c r="J14" s="35">
        <v>-2.1598968407479099E-2</v>
      </c>
      <c r="K14" s="35">
        <v>0.01</v>
      </c>
      <c r="L14" s="36">
        <v>-10870.080000000027</v>
      </c>
      <c r="M14" t="s">
        <v>595</v>
      </c>
      <c r="N14" t="s">
        <v>594</v>
      </c>
      <c r="O14" s="37">
        <v>10870.080000000027</v>
      </c>
    </row>
    <row r="15" spans="1:15" x14ac:dyDescent="0.3">
      <c r="A15" t="s">
        <v>271</v>
      </c>
      <c r="B15" s="32">
        <v>46293</v>
      </c>
      <c r="C15" t="s">
        <v>96</v>
      </c>
      <c r="D15" t="s">
        <v>26</v>
      </c>
      <c r="E15" t="s">
        <v>272</v>
      </c>
      <c r="F15" t="s">
        <v>52</v>
      </c>
      <c r="G15" s="33">
        <v>19443</v>
      </c>
      <c r="H15" s="34">
        <v>97.194000000000003</v>
      </c>
      <c r="I15" s="34">
        <v>96.72</v>
      </c>
      <c r="J15" s="35">
        <v>4.9007444168734883E-3</v>
      </c>
      <c r="K15" s="35">
        <v>2.5000000000000001E-3</v>
      </c>
      <c r="L15" s="36">
        <v>9215.9820000000727</v>
      </c>
      <c r="M15" t="s">
        <v>595</v>
      </c>
      <c r="N15" t="s">
        <v>594</v>
      </c>
      <c r="O15" s="37">
        <v>9215.9820000000727</v>
      </c>
    </row>
    <row r="16" spans="1:15" x14ac:dyDescent="0.3">
      <c r="A16" t="s">
        <v>150</v>
      </c>
      <c r="B16" s="32">
        <v>46293</v>
      </c>
      <c r="C16" t="s">
        <v>60</v>
      </c>
      <c r="D16" t="s">
        <v>24</v>
      </c>
      <c r="E16" t="s">
        <v>151</v>
      </c>
      <c r="F16" t="s">
        <v>56</v>
      </c>
      <c r="G16" s="33">
        <v>3765</v>
      </c>
      <c r="H16" s="34">
        <v>211.69</v>
      </c>
      <c r="I16" s="34">
        <v>209.32</v>
      </c>
      <c r="J16" s="35">
        <v>1.1322377221479097E-2</v>
      </c>
      <c r="K16" s="35">
        <v>0.01</v>
      </c>
      <c r="L16" s="36">
        <v>8923.0500000000175</v>
      </c>
      <c r="M16" t="s">
        <v>595</v>
      </c>
      <c r="N16" t="s">
        <v>594</v>
      </c>
      <c r="O16" s="37">
        <v>8923.0500000000175</v>
      </c>
    </row>
    <row r="17" spans="1:15" x14ac:dyDescent="0.3">
      <c r="A17" t="s">
        <v>267</v>
      </c>
      <c r="B17" s="32">
        <v>46293</v>
      </c>
      <c r="C17" t="s">
        <v>46</v>
      </c>
      <c r="D17" t="s">
        <v>25</v>
      </c>
      <c r="E17" t="s">
        <v>268</v>
      </c>
      <c r="F17" t="s">
        <v>48</v>
      </c>
      <c r="G17" s="33">
        <v>16554</v>
      </c>
      <c r="H17" s="34">
        <v>105.289</v>
      </c>
      <c r="I17" s="34">
        <v>105.828</v>
      </c>
      <c r="J17" s="35">
        <v>-5.0931700495143199E-3</v>
      </c>
      <c r="K17" s="35">
        <v>5.0000000000000001E-3</v>
      </c>
      <c r="L17" s="36">
        <v>-8922.6060000000252</v>
      </c>
      <c r="M17" t="s">
        <v>595</v>
      </c>
      <c r="N17" t="s">
        <v>594</v>
      </c>
      <c r="O17" s="37">
        <v>8922.6060000000252</v>
      </c>
    </row>
    <row r="18" spans="1:15" x14ac:dyDescent="0.3">
      <c r="A18" t="s">
        <v>504</v>
      </c>
      <c r="B18" s="32">
        <v>46293</v>
      </c>
      <c r="C18" t="s">
        <v>54</v>
      </c>
      <c r="D18" t="s">
        <v>27</v>
      </c>
      <c r="E18" t="s">
        <v>505</v>
      </c>
      <c r="F18" t="s">
        <v>56</v>
      </c>
      <c r="G18" s="33">
        <v>1085377</v>
      </c>
      <c r="H18" s="34">
        <v>1.06145</v>
      </c>
      <c r="I18" s="34">
        <v>1.05369</v>
      </c>
      <c r="J18" s="35">
        <v>7.3645948998282123E-3</v>
      </c>
      <c r="K18" s="35">
        <v>3.0000000000000001E-3</v>
      </c>
      <c r="L18" s="36">
        <v>8422.5255199999883</v>
      </c>
      <c r="M18" t="s">
        <v>595</v>
      </c>
      <c r="N18" t="s">
        <v>594</v>
      </c>
      <c r="O18" s="37">
        <v>8422.5255199999883</v>
      </c>
    </row>
    <row r="19" spans="1:15" x14ac:dyDescent="0.3">
      <c r="A19" t="s">
        <v>326</v>
      </c>
      <c r="B19" s="32">
        <v>46293</v>
      </c>
      <c r="C19" t="s">
        <v>54</v>
      </c>
      <c r="D19" t="s">
        <v>27</v>
      </c>
      <c r="E19" t="s">
        <v>327</v>
      </c>
      <c r="F19" t="s">
        <v>56</v>
      </c>
      <c r="G19" s="33">
        <v>2609487</v>
      </c>
      <c r="H19" s="34">
        <v>0.67386000000000001</v>
      </c>
      <c r="I19" s="34">
        <v>0.67105000000000004</v>
      </c>
      <c r="J19" s="35">
        <v>4.187467401832917E-3</v>
      </c>
      <c r="K19" s="35">
        <v>3.0000000000000001E-3</v>
      </c>
      <c r="L19" s="36">
        <v>7332.6584699999457</v>
      </c>
      <c r="M19" t="s">
        <v>595</v>
      </c>
      <c r="N19" t="s">
        <v>594</v>
      </c>
      <c r="O19" s="37">
        <v>7332.6584699999457</v>
      </c>
    </row>
    <row r="20" spans="1:15" x14ac:dyDescent="0.3">
      <c r="A20" t="s">
        <v>278</v>
      </c>
      <c r="B20" s="32">
        <v>46293</v>
      </c>
      <c r="C20" t="s">
        <v>50</v>
      </c>
      <c r="D20" t="s">
        <v>25</v>
      </c>
      <c r="E20" t="s">
        <v>279</v>
      </c>
      <c r="F20" t="s">
        <v>52</v>
      </c>
      <c r="G20" s="33">
        <v>11983</v>
      </c>
      <c r="H20" s="34">
        <v>96.540999999999997</v>
      </c>
      <c r="I20" s="34">
        <v>97.134</v>
      </c>
      <c r="J20" s="35">
        <v>-6.1049683941771524E-3</v>
      </c>
      <c r="K20" s="35">
        <v>5.0000000000000001E-3</v>
      </c>
      <c r="L20" s="36">
        <v>-7105.9190000000426</v>
      </c>
      <c r="M20" t="s">
        <v>595</v>
      </c>
      <c r="N20" t="s">
        <v>594</v>
      </c>
      <c r="O20" s="37">
        <v>7105.9190000000426</v>
      </c>
    </row>
    <row r="21" spans="1:15" x14ac:dyDescent="0.3">
      <c r="A21" t="s">
        <v>443</v>
      </c>
      <c r="B21" s="32">
        <v>46293</v>
      </c>
      <c r="C21" t="s">
        <v>77</v>
      </c>
      <c r="D21" t="s">
        <v>26</v>
      </c>
      <c r="E21" t="s">
        <v>444</v>
      </c>
      <c r="F21" t="s">
        <v>48</v>
      </c>
      <c r="G21" s="33">
        <v>14189</v>
      </c>
      <c r="H21" s="34">
        <v>99.513000000000005</v>
      </c>
      <c r="I21" s="34">
        <v>99.992999999999995</v>
      </c>
      <c r="J21" s="35">
        <v>-4.8003360235215446E-3</v>
      </c>
      <c r="K21" s="35">
        <v>2.5000000000000001E-3</v>
      </c>
      <c r="L21" s="36">
        <v>-6810.7199999998547</v>
      </c>
      <c r="M21" t="s">
        <v>595</v>
      </c>
      <c r="N21" t="s">
        <v>594</v>
      </c>
      <c r="O21" s="37">
        <v>6810.7199999998547</v>
      </c>
    </row>
    <row r="22" spans="1:15" x14ac:dyDescent="0.3">
      <c r="A22" t="s">
        <v>385</v>
      </c>
      <c r="B22" s="32">
        <v>46293</v>
      </c>
      <c r="C22" t="s">
        <v>77</v>
      </c>
      <c r="D22" t="s">
        <v>26</v>
      </c>
      <c r="E22" t="s">
        <v>386</v>
      </c>
      <c r="F22" t="s">
        <v>48</v>
      </c>
      <c r="G22" s="33">
        <v>15868</v>
      </c>
      <c r="H22" s="34">
        <v>98.813999999999993</v>
      </c>
      <c r="I22" s="34">
        <v>98.537999999999997</v>
      </c>
      <c r="J22" s="35">
        <v>2.8009498873530644E-3</v>
      </c>
      <c r="K22" s="35">
        <v>2.5000000000000001E-3</v>
      </c>
      <c r="L22" s="36">
        <v>4379.5679999999402</v>
      </c>
      <c r="M22" t="s">
        <v>595</v>
      </c>
      <c r="N22" t="s">
        <v>594</v>
      </c>
      <c r="O22" s="37">
        <v>4379.5679999999402</v>
      </c>
    </row>
    <row r="23" spans="1:15" x14ac:dyDescent="0.3">
      <c r="A23" t="s">
        <v>280</v>
      </c>
      <c r="B23" s="32">
        <v>46293</v>
      </c>
      <c r="C23" t="s">
        <v>43</v>
      </c>
      <c r="D23" t="s">
        <v>27</v>
      </c>
      <c r="E23" t="s">
        <v>281</v>
      </c>
      <c r="F23" t="s">
        <v>41</v>
      </c>
      <c r="G23" s="33">
        <v>511412</v>
      </c>
      <c r="H23" s="34">
        <v>0.60809999999999997</v>
      </c>
      <c r="I23" s="34">
        <v>0.60568999999999995</v>
      </c>
      <c r="J23" s="35">
        <v>3.9789331176014516E-3</v>
      </c>
      <c r="K23" s="35">
        <v>3.0000000000000001E-3</v>
      </c>
      <c r="L23" s="36">
        <v>1232.502920000012</v>
      </c>
      <c r="M23" t="s">
        <v>595</v>
      </c>
      <c r="N23" t="s">
        <v>594</v>
      </c>
      <c r="O23" s="37">
        <v>1232.502920000012</v>
      </c>
    </row>
    <row r="24" spans="1:15" x14ac:dyDescent="0.3">
      <c r="B24" s="32"/>
      <c r="G24" s="33"/>
      <c r="H24" s="34"/>
      <c r="I24" s="34"/>
      <c r="J24" s="35"/>
      <c r="K24" s="35"/>
      <c r="L24" s="36"/>
      <c r="O24" s="37"/>
    </row>
    <row r="25" spans="1:15" x14ac:dyDescent="0.3">
      <c r="B25" s="32"/>
      <c r="G25" s="33"/>
      <c r="H25" s="34"/>
      <c r="I25" s="34"/>
      <c r="J25" s="35"/>
      <c r="K25" s="35"/>
      <c r="L25" s="36"/>
      <c r="O25" s="37"/>
    </row>
    <row r="26" spans="1:15" x14ac:dyDescent="0.3">
      <c r="B26" s="32"/>
      <c r="G26" s="33"/>
      <c r="H26" s="34"/>
      <c r="I26" s="34"/>
      <c r="J26" s="35"/>
      <c r="K26" s="35"/>
      <c r="L26" s="36"/>
      <c r="O26" s="37"/>
    </row>
    <row r="27" spans="1:15" x14ac:dyDescent="0.3">
      <c r="B27" s="32"/>
      <c r="G27" s="33"/>
      <c r="H27" s="34"/>
      <c r="I27" s="34"/>
      <c r="J27" s="35"/>
      <c r="K27" s="35"/>
      <c r="L27" s="36"/>
      <c r="O27" s="37"/>
    </row>
    <row r="28" spans="1:15" x14ac:dyDescent="0.3">
      <c r="B28" s="32"/>
      <c r="G28" s="33"/>
      <c r="H28" s="34"/>
      <c r="I28" s="34"/>
      <c r="J28" s="35"/>
      <c r="K28" s="35"/>
      <c r="L28" s="36"/>
      <c r="O28" s="37"/>
    </row>
    <row r="29" spans="1:15" x14ac:dyDescent="0.3">
      <c r="B29" s="32"/>
      <c r="G29" s="33"/>
      <c r="H29" s="34"/>
      <c r="I29" s="34"/>
      <c r="J29" s="35"/>
      <c r="K29" s="35"/>
      <c r="L29" s="36"/>
      <c r="O29" s="37"/>
    </row>
    <row r="30" spans="1:15" x14ac:dyDescent="0.3">
      <c r="B30" s="32"/>
      <c r="G30" s="33"/>
      <c r="H30" s="34"/>
      <c r="I30" s="34"/>
      <c r="J30" s="35"/>
      <c r="K30" s="35"/>
      <c r="L30" s="36"/>
      <c r="O30" s="37"/>
    </row>
    <row r="31" spans="1:15" x14ac:dyDescent="0.3">
      <c r="B31" s="32"/>
      <c r="G31" s="33"/>
      <c r="H31" s="34"/>
      <c r="I31" s="34"/>
      <c r="J31" s="35"/>
      <c r="K31" s="35"/>
      <c r="L31" s="36"/>
      <c r="O31" s="37"/>
    </row>
    <row r="32" spans="1:15" x14ac:dyDescent="0.3">
      <c r="B32" s="32"/>
      <c r="G32" s="33"/>
      <c r="H32" s="34"/>
      <c r="I32" s="34"/>
      <c r="J32" s="35"/>
      <c r="K32" s="35"/>
      <c r="L32" s="36"/>
      <c r="O32" s="37"/>
    </row>
    <row r="33" spans="2:15" x14ac:dyDescent="0.3">
      <c r="B33" s="32"/>
      <c r="G33" s="33"/>
      <c r="H33" s="34"/>
      <c r="I33" s="34"/>
      <c r="J33" s="35"/>
      <c r="K33" s="35"/>
      <c r="L33" s="36"/>
      <c r="O33" s="37"/>
    </row>
    <row r="34" spans="2:15" x14ac:dyDescent="0.3">
      <c r="B34" s="32"/>
      <c r="G34" s="33"/>
      <c r="H34" s="34"/>
      <c r="I34" s="34"/>
      <c r="J34" s="35"/>
      <c r="K34" s="35"/>
      <c r="L34" s="36"/>
      <c r="O34" s="37"/>
    </row>
    <row r="35" spans="2:15" x14ac:dyDescent="0.3">
      <c r="B35" s="32"/>
      <c r="G35" s="33"/>
      <c r="H35" s="34"/>
      <c r="I35" s="34"/>
      <c r="J35" s="35"/>
      <c r="K35" s="35"/>
      <c r="L35" s="36"/>
      <c r="O35" s="37"/>
    </row>
    <row r="36" spans="2:15" x14ac:dyDescent="0.3">
      <c r="B36" s="32"/>
      <c r="G36" s="33"/>
      <c r="H36" s="34"/>
      <c r="I36" s="34"/>
      <c r="J36" s="35"/>
      <c r="K36" s="35"/>
      <c r="L36" s="36"/>
      <c r="O36" s="37"/>
    </row>
    <row r="37" spans="2:15" x14ac:dyDescent="0.3">
      <c r="B37" s="32"/>
      <c r="G37" s="33"/>
      <c r="H37" s="34"/>
      <c r="I37" s="34"/>
      <c r="J37" s="35"/>
      <c r="K37" s="35"/>
      <c r="L37" s="36"/>
      <c r="O37" s="37"/>
    </row>
    <row r="38" spans="2:15" x14ac:dyDescent="0.3">
      <c r="B38" s="32"/>
      <c r="G38" s="33"/>
      <c r="H38" s="34"/>
      <c r="I38" s="34"/>
      <c r="J38" s="35"/>
      <c r="K38" s="35"/>
      <c r="L38" s="36"/>
      <c r="O38" s="37"/>
    </row>
    <row r="39" spans="2:15" x14ac:dyDescent="0.3">
      <c r="B39" s="32"/>
      <c r="G39" s="33"/>
      <c r="H39" s="34"/>
      <c r="I39" s="34"/>
      <c r="J39" s="35"/>
      <c r="K39" s="35"/>
      <c r="L39" s="36"/>
      <c r="O39" s="37"/>
    </row>
    <row r="40" spans="2:15" x14ac:dyDescent="0.3">
      <c r="B40" s="32"/>
      <c r="G40" s="33"/>
      <c r="H40" s="34"/>
      <c r="I40" s="34"/>
      <c r="J40" s="35"/>
      <c r="K40" s="35"/>
      <c r="L40" s="36"/>
      <c r="O40" s="37"/>
    </row>
    <row r="41" spans="2:15" x14ac:dyDescent="0.3">
      <c r="B41" s="32"/>
      <c r="G41" s="33"/>
      <c r="H41" s="34"/>
      <c r="I41" s="34"/>
      <c r="J41" s="35"/>
      <c r="K41" s="35"/>
      <c r="L41" s="36"/>
      <c r="O41" s="37"/>
    </row>
    <row r="42" spans="2:15" x14ac:dyDescent="0.3">
      <c r="B42" s="32"/>
      <c r="G42" s="33"/>
      <c r="H42" s="34"/>
      <c r="I42" s="34"/>
      <c r="J42" s="35"/>
      <c r="K42" s="35"/>
      <c r="L42" s="36"/>
      <c r="O42" s="37"/>
    </row>
    <row r="43" spans="2:15" x14ac:dyDescent="0.3">
      <c r="B43" s="32"/>
      <c r="G43" s="33"/>
      <c r="H43" s="34"/>
      <c r="I43" s="34"/>
      <c r="J43" s="35"/>
      <c r="K43" s="35"/>
      <c r="L43" s="36"/>
      <c r="O43" s="37"/>
    </row>
    <row r="44" spans="2:15" x14ac:dyDescent="0.3">
      <c r="B44" s="32"/>
      <c r="G44" s="33"/>
      <c r="H44" s="34"/>
      <c r="I44" s="34"/>
      <c r="J44" s="35"/>
      <c r="K44" s="35"/>
      <c r="L44" s="36"/>
      <c r="O44" s="37"/>
    </row>
    <row r="45" spans="2:15" x14ac:dyDescent="0.3">
      <c r="B45" s="32"/>
      <c r="G45" s="33"/>
      <c r="H45" s="34"/>
      <c r="I45" s="34"/>
      <c r="J45" s="35"/>
      <c r="K45" s="35"/>
      <c r="L45" s="36"/>
      <c r="O45" s="37"/>
    </row>
    <row r="46" spans="2:15" x14ac:dyDescent="0.3">
      <c r="B46" s="32"/>
      <c r="G46" s="33"/>
      <c r="H46" s="34"/>
      <c r="I46" s="34"/>
      <c r="J46" s="35"/>
      <c r="K46" s="35"/>
      <c r="L46" s="36"/>
      <c r="O46" s="37"/>
    </row>
    <row r="47" spans="2:15" x14ac:dyDescent="0.3">
      <c r="B47" s="32"/>
      <c r="G47" s="33"/>
      <c r="H47" s="34"/>
      <c r="I47" s="34"/>
      <c r="J47" s="35"/>
      <c r="K47" s="35"/>
      <c r="L47" s="36"/>
      <c r="O47" s="37"/>
    </row>
    <row r="48" spans="2:15" x14ac:dyDescent="0.3">
      <c r="B48" s="32"/>
      <c r="G48" s="33"/>
      <c r="H48" s="34"/>
      <c r="I48" s="34"/>
      <c r="J48" s="35"/>
      <c r="K48" s="35"/>
      <c r="L48" s="36"/>
      <c r="O48" s="37"/>
    </row>
    <row r="49" spans="2:15" x14ac:dyDescent="0.3">
      <c r="B49" s="32"/>
      <c r="G49" s="33"/>
      <c r="H49" s="34"/>
      <c r="I49" s="34"/>
      <c r="J49" s="35"/>
      <c r="K49" s="35"/>
      <c r="L49" s="36"/>
      <c r="O49" s="37"/>
    </row>
    <row r="50" spans="2:15" x14ac:dyDescent="0.3">
      <c r="B50" s="32"/>
      <c r="G50" s="33"/>
      <c r="H50" s="34"/>
      <c r="I50" s="34"/>
      <c r="J50" s="35"/>
      <c r="K50" s="35"/>
      <c r="L50" s="36"/>
      <c r="O50" s="37"/>
    </row>
    <row r="51" spans="2:15" x14ac:dyDescent="0.3">
      <c r="B51" s="32"/>
      <c r="G51" s="33"/>
      <c r="H51" s="34"/>
      <c r="I51" s="34"/>
      <c r="J51" s="35"/>
      <c r="K51" s="35"/>
      <c r="L51" s="36"/>
      <c r="O51" s="37"/>
    </row>
    <row r="52" spans="2:15" x14ac:dyDescent="0.3">
      <c r="B52" s="32"/>
      <c r="G52" s="33"/>
      <c r="H52" s="34"/>
      <c r="I52" s="34"/>
      <c r="J52" s="35"/>
      <c r="K52" s="35"/>
      <c r="L52" s="36"/>
      <c r="O52" s="37"/>
    </row>
    <row r="53" spans="2:15" x14ac:dyDescent="0.3">
      <c r="B53" s="32"/>
      <c r="G53" s="33"/>
      <c r="H53" s="34"/>
      <c r="I53" s="34"/>
      <c r="J53" s="35"/>
      <c r="K53" s="35"/>
      <c r="L53" s="36"/>
      <c r="O53" s="37"/>
    </row>
    <row r="54" spans="2:15" x14ac:dyDescent="0.3">
      <c r="B54" s="32"/>
      <c r="G54" s="33"/>
      <c r="H54" s="34"/>
      <c r="I54" s="34"/>
      <c r="J54" s="35"/>
      <c r="K54" s="35"/>
      <c r="L54" s="36"/>
      <c r="O54" s="37"/>
    </row>
    <row r="55" spans="2:15" x14ac:dyDescent="0.3">
      <c r="B55" s="32"/>
      <c r="G55" s="33"/>
      <c r="H55" s="34"/>
      <c r="I55" s="34"/>
      <c r="J55" s="35"/>
      <c r="K55" s="35"/>
      <c r="L55" s="36"/>
      <c r="O55" s="37"/>
    </row>
    <row r="56" spans="2:15" x14ac:dyDescent="0.3">
      <c r="B56" s="32"/>
      <c r="G56" s="33"/>
      <c r="H56" s="34"/>
      <c r="I56" s="34"/>
      <c r="J56" s="35"/>
      <c r="K56" s="35"/>
      <c r="L56" s="36"/>
      <c r="O56" s="37"/>
    </row>
    <row r="57" spans="2:15" x14ac:dyDescent="0.3">
      <c r="B57" s="32"/>
      <c r="G57" s="33"/>
      <c r="H57" s="34"/>
      <c r="I57" s="34"/>
      <c r="J57" s="35"/>
      <c r="K57" s="35"/>
      <c r="L57" s="36"/>
      <c r="O57" s="37"/>
    </row>
    <row r="58" spans="2:15" x14ac:dyDescent="0.3">
      <c r="B58" s="32"/>
      <c r="G58" s="33"/>
      <c r="H58" s="34"/>
      <c r="I58" s="34"/>
      <c r="J58" s="35"/>
      <c r="K58" s="35"/>
      <c r="L58" s="36"/>
      <c r="O58" s="37"/>
    </row>
    <row r="59" spans="2:15" x14ac:dyDescent="0.3">
      <c r="B59" s="32"/>
      <c r="G59" s="33"/>
      <c r="H59" s="34"/>
      <c r="I59" s="34"/>
      <c r="J59" s="35"/>
      <c r="K59" s="35"/>
      <c r="L59" s="36"/>
      <c r="O59" s="37"/>
    </row>
    <row r="60" spans="2:15" x14ac:dyDescent="0.3">
      <c r="B60" s="32"/>
      <c r="G60" s="33"/>
      <c r="H60" s="34"/>
      <c r="I60" s="34"/>
      <c r="J60" s="35"/>
      <c r="K60" s="35"/>
      <c r="L60" s="36"/>
      <c r="O60" s="37"/>
    </row>
    <row r="61" spans="2:15" x14ac:dyDescent="0.3">
      <c r="B61" s="32"/>
      <c r="G61" s="33"/>
      <c r="H61" s="34"/>
      <c r="I61" s="34"/>
      <c r="J61" s="35"/>
      <c r="K61" s="35"/>
      <c r="L61" s="36"/>
      <c r="O61" s="37"/>
    </row>
    <row r="62" spans="2:15" x14ac:dyDescent="0.3">
      <c r="B62" s="32"/>
      <c r="G62" s="33"/>
      <c r="H62" s="34"/>
      <c r="I62" s="34"/>
      <c r="J62" s="35"/>
      <c r="K62" s="35"/>
      <c r="L62" s="36"/>
      <c r="O62" s="37"/>
    </row>
    <row r="63" spans="2:15" x14ac:dyDescent="0.3">
      <c r="B63" s="32"/>
      <c r="G63" s="33"/>
      <c r="H63" s="34"/>
      <c r="I63" s="34"/>
      <c r="J63" s="35"/>
      <c r="K63" s="35"/>
      <c r="L63" s="36"/>
      <c r="O63" s="37"/>
    </row>
    <row r="64" spans="2:15" x14ac:dyDescent="0.3">
      <c r="B64" s="32"/>
      <c r="G64" s="33"/>
      <c r="H64" s="34"/>
      <c r="I64" s="34"/>
      <c r="J64" s="35"/>
      <c r="K64" s="35"/>
      <c r="L64" s="36"/>
      <c r="O64" s="37"/>
    </row>
    <row r="65" spans="2:15" x14ac:dyDescent="0.3">
      <c r="B65" s="32"/>
      <c r="G65" s="33"/>
      <c r="H65" s="34"/>
      <c r="I65" s="34"/>
      <c r="J65" s="35"/>
      <c r="K65" s="35"/>
      <c r="L65" s="36"/>
      <c r="O65" s="37"/>
    </row>
    <row r="66" spans="2:15" x14ac:dyDescent="0.3">
      <c r="B66" s="32"/>
      <c r="G66" s="33"/>
      <c r="H66" s="34"/>
      <c r="I66" s="34"/>
      <c r="J66" s="35"/>
      <c r="K66" s="35"/>
      <c r="L66" s="36"/>
      <c r="O66" s="37"/>
    </row>
    <row r="67" spans="2:15" x14ac:dyDescent="0.3">
      <c r="B67" s="32"/>
      <c r="G67" s="33"/>
      <c r="H67" s="34"/>
      <c r="I67" s="34"/>
      <c r="J67" s="35"/>
      <c r="K67" s="35"/>
      <c r="L67" s="36"/>
      <c r="O67" s="37"/>
    </row>
    <row r="68" spans="2:15" x14ac:dyDescent="0.3">
      <c r="B68" s="32"/>
      <c r="G68" s="33"/>
      <c r="H68" s="34"/>
      <c r="I68" s="34"/>
      <c r="J68" s="35"/>
      <c r="K68" s="35"/>
      <c r="L68" s="36"/>
      <c r="O68" s="37"/>
    </row>
    <row r="69" spans="2:15" x14ac:dyDescent="0.3">
      <c r="B69" s="32"/>
      <c r="G69" s="33"/>
      <c r="H69" s="34"/>
      <c r="I69" s="34"/>
      <c r="J69" s="35"/>
      <c r="K69" s="35"/>
      <c r="L69" s="36"/>
      <c r="O69" s="37"/>
    </row>
    <row r="70" spans="2:15" x14ac:dyDescent="0.3">
      <c r="B70" s="32"/>
      <c r="G70" s="33"/>
      <c r="H70" s="34"/>
      <c r="I70" s="34"/>
      <c r="J70" s="35"/>
      <c r="K70" s="35"/>
      <c r="L70" s="36"/>
      <c r="O70" s="37"/>
    </row>
    <row r="71" spans="2:15" x14ac:dyDescent="0.3">
      <c r="B71" s="32"/>
      <c r="G71" s="33"/>
      <c r="H71" s="34"/>
      <c r="I71" s="34"/>
      <c r="J71" s="35"/>
      <c r="K71" s="35"/>
      <c r="L71" s="36"/>
      <c r="O71" s="37"/>
    </row>
    <row r="72" spans="2:15" x14ac:dyDescent="0.3">
      <c r="B72" s="32"/>
      <c r="G72" s="33"/>
      <c r="H72" s="34"/>
      <c r="I72" s="34"/>
      <c r="J72" s="35"/>
      <c r="K72" s="35"/>
      <c r="L72" s="36"/>
      <c r="O72" s="37"/>
    </row>
    <row r="73" spans="2:15" x14ac:dyDescent="0.3">
      <c r="B73" s="32"/>
      <c r="G73" s="33"/>
      <c r="H73" s="34"/>
      <c r="I73" s="34"/>
      <c r="J73" s="35"/>
      <c r="K73" s="35"/>
      <c r="L73" s="36"/>
      <c r="O73" s="37"/>
    </row>
    <row r="74" spans="2:15" x14ac:dyDescent="0.3">
      <c r="B74" s="32"/>
      <c r="G74" s="33"/>
      <c r="H74" s="34"/>
      <c r="I74" s="34"/>
      <c r="J74" s="35"/>
      <c r="K74" s="35"/>
      <c r="L74" s="36"/>
      <c r="O74" s="37"/>
    </row>
    <row r="75" spans="2:15" x14ac:dyDescent="0.3">
      <c r="B75" s="32"/>
      <c r="G75" s="33"/>
      <c r="H75" s="34"/>
      <c r="I75" s="34"/>
      <c r="J75" s="35"/>
      <c r="K75" s="35"/>
      <c r="L75" s="36"/>
      <c r="O75" s="37"/>
    </row>
    <row r="76" spans="2:15" x14ac:dyDescent="0.3">
      <c r="B76" s="32"/>
      <c r="G76" s="33"/>
      <c r="H76" s="34"/>
      <c r="I76" s="34"/>
      <c r="J76" s="35"/>
      <c r="K76" s="35"/>
      <c r="L76" s="36"/>
      <c r="O76" s="37"/>
    </row>
    <row r="77" spans="2:15" x14ac:dyDescent="0.3">
      <c r="B77" s="32"/>
      <c r="G77" s="33"/>
      <c r="H77" s="34"/>
      <c r="I77" s="34"/>
      <c r="J77" s="35"/>
      <c r="K77" s="35"/>
      <c r="L77" s="36"/>
      <c r="O77" s="37"/>
    </row>
    <row r="78" spans="2:15" x14ac:dyDescent="0.3">
      <c r="B78" s="32"/>
      <c r="G78" s="33"/>
      <c r="H78" s="34"/>
      <c r="I78" s="34"/>
      <c r="J78" s="35"/>
      <c r="K78" s="35"/>
      <c r="L78" s="36"/>
      <c r="O78" s="37"/>
    </row>
    <row r="79" spans="2:15" x14ac:dyDescent="0.3">
      <c r="B79" s="32"/>
      <c r="G79" s="33"/>
      <c r="H79" s="34"/>
      <c r="I79" s="34"/>
      <c r="J79" s="35"/>
      <c r="K79" s="35"/>
      <c r="L79" s="36"/>
      <c r="O79" s="37"/>
    </row>
    <row r="80" spans="2:15" x14ac:dyDescent="0.3">
      <c r="B80" s="32"/>
      <c r="G80" s="33"/>
      <c r="H80" s="34"/>
      <c r="I80" s="34"/>
      <c r="J80" s="35"/>
      <c r="K80" s="35"/>
      <c r="L80" s="36"/>
      <c r="O80" s="37"/>
    </row>
    <row r="81" spans="2:15" x14ac:dyDescent="0.3">
      <c r="B81" s="32"/>
      <c r="G81" s="33"/>
      <c r="H81" s="34"/>
      <c r="I81" s="34"/>
      <c r="J81" s="35"/>
      <c r="K81" s="35"/>
      <c r="L81" s="36"/>
      <c r="O81" s="37"/>
    </row>
    <row r="82" spans="2:15" x14ac:dyDescent="0.3">
      <c r="B82" s="32"/>
      <c r="G82" s="33"/>
      <c r="H82" s="34"/>
      <c r="I82" s="34"/>
      <c r="J82" s="35"/>
      <c r="K82" s="35"/>
      <c r="L82" s="36"/>
      <c r="O82" s="37"/>
    </row>
    <row r="83" spans="2:15" x14ac:dyDescent="0.3">
      <c r="B83" s="32"/>
      <c r="G83" s="33"/>
      <c r="H83" s="34"/>
      <c r="I83" s="34"/>
      <c r="J83" s="35"/>
      <c r="K83" s="35"/>
      <c r="L83" s="36"/>
      <c r="O83" s="37"/>
    </row>
    <row r="84" spans="2:15" x14ac:dyDescent="0.3">
      <c r="B84" s="32"/>
      <c r="G84" s="33"/>
      <c r="H84" s="34"/>
      <c r="I84" s="34"/>
      <c r="J84" s="35"/>
      <c r="K84" s="35"/>
      <c r="L84" s="36"/>
      <c r="O84" s="37"/>
    </row>
    <row r="85" spans="2:15" x14ac:dyDescent="0.3">
      <c r="B85" s="32"/>
      <c r="G85" s="33"/>
      <c r="H85" s="34"/>
      <c r="I85" s="34"/>
      <c r="J85" s="35"/>
      <c r="K85" s="35"/>
      <c r="L85" s="36"/>
      <c r="O85" s="37"/>
    </row>
    <row r="86" spans="2:15" x14ac:dyDescent="0.3">
      <c r="B86" s="32"/>
      <c r="G86" s="33"/>
      <c r="H86" s="34"/>
      <c r="I86" s="34"/>
      <c r="J86" s="35"/>
      <c r="K86" s="35"/>
      <c r="L86" s="36"/>
      <c r="O86" s="37"/>
    </row>
    <row r="87" spans="2:15" x14ac:dyDescent="0.3">
      <c r="B87" s="32"/>
      <c r="G87" s="33"/>
      <c r="H87" s="34"/>
      <c r="I87" s="34"/>
      <c r="J87" s="35"/>
      <c r="K87" s="35"/>
      <c r="L87" s="36"/>
      <c r="O87" s="37"/>
    </row>
    <row r="88" spans="2:15" x14ac:dyDescent="0.3">
      <c r="B88" s="32"/>
      <c r="G88" s="33"/>
      <c r="H88" s="34"/>
      <c r="I88" s="34"/>
      <c r="J88" s="35"/>
      <c r="K88" s="35"/>
      <c r="L88" s="36"/>
      <c r="O88" s="37"/>
    </row>
    <row r="89" spans="2:15" x14ac:dyDescent="0.3">
      <c r="B89" s="32"/>
      <c r="G89" s="33"/>
      <c r="H89" s="34"/>
      <c r="I89" s="34"/>
      <c r="J89" s="35"/>
      <c r="K89" s="35"/>
      <c r="L89" s="36"/>
      <c r="O89" s="37"/>
    </row>
    <row r="90" spans="2:15" x14ac:dyDescent="0.3">
      <c r="B90" s="32"/>
      <c r="G90" s="33"/>
      <c r="H90" s="34"/>
      <c r="I90" s="34"/>
      <c r="J90" s="35"/>
      <c r="K90" s="35"/>
      <c r="L90" s="36"/>
      <c r="O90" s="37"/>
    </row>
    <row r="91" spans="2:15" x14ac:dyDescent="0.3">
      <c r="B91" s="32"/>
      <c r="G91" s="33"/>
      <c r="H91" s="34"/>
      <c r="I91" s="34"/>
      <c r="J91" s="35"/>
      <c r="K91" s="35"/>
      <c r="L91" s="36"/>
      <c r="O91" s="37"/>
    </row>
    <row r="92" spans="2:15" x14ac:dyDescent="0.3">
      <c r="B92" s="32"/>
      <c r="G92" s="33"/>
      <c r="H92" s="34"/>
      <c r="I92" s="34"/>
      <c r="J92" s="35"/>
      <c r="K92" s="35"/>
      <c r="L92" s="36"/>
      <c r="O92" s="37"/>
    </row>
    <row r="93" spans="2:15" x14ac:dyDescent="0.3">
      <c r="B93" s="32"/>
      <c r="G93" s="33"/>
      <c r="H93" s="34"/>
      <c r="I93" s="34"/>
      <c r="J93" s="35"/>
      <c r="K93" s="35"/>
      <c r="L93" s="36"/>
      <c r="O93" s="37"/>
    </row>
    <row r="94" spans="2:15" x14ac:dyDescent="0.3">
      <c r="B94" s="32"/>
      <c r="G94" s="33"/>
      <c r="H94" s="34"/>
      <c r="I94" s="34"/>
      <c r="J94" s="35"/>
      <c r="K94" s="35"/>
      <c r="L94" s="36"/>
      <c r="O94" s="37"/>
    </row>
    <row r="95" spans="2:15" x14ac:dyDescent="0.3">
      <c r="B95" s="32"/>
      <c r="G95" s="33"/>
      <c r="H95" s="34"/>
      <c r="I95" s="34"/>
      <c r="J95" s="35"/>
      <c r="K95" s="35"/>
      <c r="L95" s="36"/>
      <c r="O95" s="37"/>
    </row>
    <row r="96" spans="2:15" x14ac:dyDescent="0.3">
      <c r="B96" s="32"/>
      <c r="G96" s="33"/>
      <c r="H96" s="34"/>
      <c r="I96" s="34"/>
      <c r="J96" s="35"/>
      <c r="K96" s="35"/>
      <c r="L96" s="36"/>
      <c r="O96" s="37"/>
    </row>
    <row r="97" spans="2:15" x14ac:dyDescent="0.3">
      <c r="B97" s="32"/>
      <c r="G97" s="33"/>
      <c r="H97" s="34"/>
      <c r="I97" s="34"/>
      <c r="J97" s="35"/>
      <c r="K97" s="35"/>
      <c r="L97" s="36"/>
      <c r="O97" s="37"/>
    </row>
    <row r="98" spans="2:15" x14ac:dyDescent="0.3">
      <c r="B98" s="32"/>
      <c r="G98" s="33"/>
      <c r="H98" s="34"/>
      <c r="I98" s="34"/>
      <c r="J98" s="35"/>
      <c r="K98" s="35"/>
      <c r="L98" s="36"/>
      <c r="O98" s="37"/>
    </row>
    <row r="99" spans="2:15" x14ac:dyDescent="0.3">
      <c r="B99" s="32"/>
      <c r="G99" s="33"/>
      <c r="H99" s="34"/>
      <c r="I99" s="34"/>
      <c r="J99" s="35"/>
      <c r="K99" s="35"/>
      <c r="L99" s="36"/>
      <c r="O99" s="37"/>
    </row>
    <row r="100" spans="2:15" x14ac:dyDescent="0.3">
      <c r="B100" s="32"/>
      <c r="G100" s="33"/>
      <c r="H100" s="34"/>
      <c r="I100" s="34"/>
      <c r="J100" s="35"/>
      <c r="K100" s="35"/>
      <c r="L100" s="36"/>
      <c r="O100" s="37"/>
    </row>
    <row r="101" spans="2:15" x14ac:dyDescent="0.3">
      <c r="B101" s="32"/>
      <c r="G101" s="33"/>
      <c r="H101" s="34"/>
      <c r="I101" s="34"/>
      <c r="J101" s="35"/>
      <c r="K101" s="35"/>
      <c r="L101" s="36"/>
      <c r="O101" s="37"/>
    </row>
    <row r="102" spans="2:15" x14ac:dyDescent="0.3">
      <c r="B102" s="32"/>
      <c r="G102" s="33"/>
      <c r="H102" s="34"/>
      <c r="I102" s="34"/>
      <c r="J102" s="35"/>
      <c r="K102" s="35"/>
      <c r="L102" s="36"/>
      <c r="O102" s="37"/>
    </row>
    <row r="103" spans="2:15" x14ac:dyDescent="0.3">
      <c r="B103" s="32"/>
      <c r="G103" s="33"/>
      <c r="H103" s="34"/>
      <c r="I103" s="34"/>
      <c r="J103" s="35"/>
      <c r="K103" s="35"/>
      <c r="L103" s="36"/>
      <c r="O103" s="37"/>
    </row>
    <row r="104" spans="2:15" x14ac:dyDescent="0.3">
      <c r="B104" s="32"/>
      <c r="G104" s="33"/>
      <c r="H104" s="34"/>
      <c r="I104" s="34"/>
      <c r="J104" s="35"/>
      <c r="K104" s="35"/>
      <c r="L104" s="36"/>
      <c r="O104" s="37"/>
    </row>
    <row r="105" spans="2:15" x14ac:dyDescent="0.3">
      <c r="B105" s="32"/>
      <c r="G105" s="33"/>
      <c r="H105" s="34"/>
      <c r="I105" s="34"/>
      <c r="J105" s="35"/>
      <c r="K105" s="35"/>
      <c r="L105" s="36"/>
      <c r="O105" s="37"/>
    </row>
    <row r="106" spans="2:15" x14ac:dyDescent="0.3">
      <c r="B106" s="32"/>
      <c r="G106" s="33"/>
      <c r="H106" s="34"/>
      <c r="I106" s="34"/>
      <c r="J106" s="35"/>
      <c r="K106" s="35"/>
      <c r="L106" s="36"/>
      <c r="O106" s="37"/>
    </row>
    <row r="107" spans="2:15" x14ac:dyDescent="0.3">
      <c r="B107" s="32"/>
      <c r="G107" s="33"/>
      <c r="H107" s="34"/>
      <c r="I107" s="34"/>
      <c r="J107" s="35"/>
      <c r="K107" s="35"/>
      <c r="L107" s="36"/>
      <c r="O107" s="37"/>
    </row>
    <row r="108" spans="2:15" x14ac:dyDescent="0.3">
      <c r="B108" s="32"/>
      <c r="G108" s="33"/>
      <c r="H108" s="34"/>
      <c r="I108" s="34"/>
      <c r="J108" s="35"/>
      <c r="K108" s="35"/>
      <c r="L108" s="36"/>
      <c r="O108" s="37"/>
    </row>
    <row r="109" spans="2:15" x14ac:dyDescent="0.3">
      <c r="B109" s="32"/>
      <c r="G109" s="33"/>
      <c r="H109" s="34"/>
      <c r="I109" s="34"/>
      <c r="J109" s="35"/>
      <c r="K109" s="35"/>
      <c r="L109" s="36"/>
      <c r="O109" s="37"/>
    </row>
    <row r="110" spans="2:15" x14ac:dyDescent="0.3">
      <c r="B110" s="32"/>
      <c r="G110" s="33"/>
      <c r="H110" s="34"/>
      <c r="I110" s="34"/>
      <c r="J110" s="35"/>
      <c r="K110" s="35"/>
      <c r="L110" s="36"/>
      <c r="O110" s="37"/>
    </row>
    <row r="111" spans="2:15" x14ac:dyDescent="0.3">
      <c r="B111" s="32"/>
      <c r="G111" s="33"/>
      <c r="H111" s="34"/>
      <c r="I111" s="34"/>
      <c r="J111" s="35"/>
      <c r="K111" s="35"/>
      <c r="L111" s="36"/>
      <c r="O111" s="37"/>
    </row>
    <row r="112" spans="2:15" x14ac:dyDescent="0.3">
      <c r="B112" s="32"/>
      <c r="G112" s="33"/>
      <c r="H112" s="34"/>
      <c r="I112" s="34"/>
      <c r="J112" s="35"/>
      <c r="K112" s="35"/>
      <c r="L112" s="36"/>
      <c r="O112" s="37"/>
    </row>
    <row r="113" spans="2:15" x14ac:dyDescent="0.3">
      <c r="B113" s="32"/>
      <c r="G113" s="33"/>
      <c r="H113" s="34"/>
      <c r="I113" s="34"/>
      <c r="J113" s="35"/>
      <c r="K113" s="35"/>
      <c r="L113" s="36"/>
      <c r="O113" s="37"/>
    </row>
    <row r="114" spans="2:15" x14ac:dyDescent="0.3">
      <c r="B114" s="32"/>
      <c r="G114" s="33"/>
      <c r="H114" s="34"/>
      <c r="I114" s="34"/>
      <c r="J114" s="35"/>
      <c r="K114" s="35"/>
      <c r="L114" s="36"/>
      <c r="O114" s="37"/>
    </row>
    <row r="115" spans="2:15" x14ac:dyDescent="0.3">
      <c r="B115" s="32"/>
      <c r="G115" s="33"/>
      <c r="H115" s="34"/>
      <c r="I115" s="34"/>
      <c r="J115" s="35"/>
      <c r="K115" s="35"/>
      <c r="L115" s="36"/>
      <c r="O115" s="37"/>
    </row>
    <row r="116" spans="2:15" x14ac:dyDescent="0.3">
      <c r="B116" s="32"/>
      <c r="G116" s="33"/>
      <c r="H116" s="34"/>
      <c r="I116" s="34"/>
      <c r="J116" s="35"/>
      <c r="K116" s="35"/>
      <c r="L116" s="36"/>
      <c r="O116" s="37"/>
    </row>
    <row r="117" spans="2:15" x14ac:dyDescent="0.3">
      <c r="B117" s="32"/>
      <c r="G117" s="33"/>
      <c r="H117" s="34"/>
      <c r="I117" s="34"/>
      <c r="J117" s="35"/>
      <c r="K117" s="35"/>
      <c r="L117" s="36"/>
      <c r="O117" s="37"/>
    </row>
    <row r="118" spans="2:15" x14ac:dyDescent="0.3">
      <c r="B118" s="32"/>
      <c r="G118" s="33"/>
      <c r="H118" s="34"/>
      <c r="I118" s="34"/>
      <c r="J118" s="35"/>
      <c r="K118" s="35"/>
      <c r="L118" s="36"/>
      <c r="O118" s="37"/>
    </row>
    <row r="119" spans="2:15" x14ac:dyDescent="0.3">
      <c r="B119" s="32"/>
      <c r="G119" s="33"/>
      <c r="H119" s="34"/>
      <c r="I119" s="34"/>
      <c r="J119" s="35"/>
      <c r="K119" s="35"/>
      <c r="L119" s="36"/>
      <c r="O119" s="37"/>
    </row>
    <row r="120" spans="2:15" x14ac:dyDescent="0.3">
      <c r="B120" s="32"/>
      <c r="G120" s="33"/>
      <c r="H120" s="34"/>
      <c r="I120" s="34"/>
      <c r="J120" s="35"/>
      <c r="K120" s="35"/>
      <c r="L120" s="36"/>
      <c r="O120" s="37"/>
    </row>
    <row r="121" spans="2:15" x14ac:dyDescent="0.3">
      <c r="B121" s="32"/>
      <c r="G121" s="33"/>
      <c r="H121" s="34"/>
      <c r="I121" s="34"/>
      <c r="J121" s="35"/>
      <c r="K121" s="35"/>
      <c r="L121" s="36"/>
      <c r="O121" s="37"/>
    </row>
    <row r="122" spans="2:15" x14ac:dyDescent="0.3">
      <c r="B122" s="32"/>
      <c r="G122" s="33"/>
      <c r="H122" s="34"/>
      <c r="I122" s="34"/>
      <c r="J122" s="35"/>
      <c r="K122" s="35"/>
      <c r="L122" s="36"/>
      <c r="O122" s="37"/>
    </row>
    <row r="123" spans="2:15" x14ac:dyDescent="0.3">
      <c r="B123" s="32"/>
      <c r="G123" s="33"/>
      <c r="H123" s="34"/>
      <c r="I123" s="34"/>
      <c r="J123" s="35"/>
      <c r="K123" s="35"/>
      <c r="L123" s="36"/>
      <c r="O123" s="37"/>
    </row>
    <row r="124" spans="2:15" x14ac:dyDescent="0.3">
      <c r="B124" s="32"/>
      <c r="G124" s="33"/>
      <c r="H124" s="34"/>
      <c r="I124" s="34"/>
      <c r="J124" s="35"/>
      <c r="K124" s="35"/>
      <c r="L124" s="36"/>
      <c r="O124" s="37"/>
    </row>
    <row r="125" spans="2:15" x14ac:dyDescent="0.3">
      <c r="B125" s="32"/>
      <c r="G125" s="33"/>
      <c r="H125" s="34"/>
      <c r="I125" s="34"/>
      <c r="J125" s="35"/>
      <c r="K125" s="35"/>
      <c r="L125" s="36"/>
      <c r="O125" s="37"/>
    </row>
    <row r="126" spans="2:15" x14ac:dyDescent="0.3">
      <c r="B126" s="32"/>
      <c r="G126" s="33"/>
      <c r="H126" s="34"/>
      <c r="I126" s="34"/>
      <c r="J126" s="35"/>
      <c r="K126" s="35"/>
      <c r="L126" s="36"/>
      <c r="O126" s="37"/>
    </row>
    <row r="127" spans="2:15" x14ac:dyDescent="0.3">
      <c r="B127" s="32"/>
      <c r="G127" s="33"/>
      <c r="H127" s="34"/>
      <c r="I127" s="34"/>
      <c r="J127" s="35"/>
      <c r="K127" s="35"/>
      <c r="L127" s="36"/>
      <c r="O127" s="37"/>
    </row>
    <row r="128" spans="2:15" x14ac:dyDescent="0.3">
      <c r="B128" s="32"/>
      <c r="G128" s="33"/>
      <c r="H128" s="34"/>
      <c r="I128" s="34"/>
      <c r="J128" s="35"/>
      <c r="K128" s="35"/>
      <c r="L128" s="36"/>
      <c r="O128" s="37"/>
    </row>
    <row r="129" spans="2:15" x14ac:dyDescent="0.3">
      <c r="B129" s="32"/>
      <c r="G129" s="33"/>
      <c r="H129" s="34"/>
      <c r="I129" s="34"/>
      <c r="J129" s="35"/>
      <c r="K129" s="35"/>
      <c r="L129" s="36"/>
      <c r="O129" s="37"/>
    </row>
    <row r="130" spans="2:15" x14ac:dyDescent="0.3">
      <c r="B130" s="32"/>
      <c r="G130" s="33"/>
      <c r="H130" s="34"/>
      <c r="I130" s="34"/>
      <c r="J130" s="35"/>
      <c r="K130" s="35"/>
      <c r="L130" s="36"/>
      <c r="O130" s="37"/>
    </row>
    <row r="131" spans="2:15" x14ac:dyDescent="0.3">
      <c r="B131" s="32"/>
      <c r="G131" s="33"/>
      <c r="H131" s="34"/>
      <c r="I131" s="34"/>
      <c r="J131" s="35"/>
      <c r="K131" s="35"/>
      <c r="L131" s="36"/>
      <c r="O131" s="37"/>
    </row>
    <row r="132" spans="2:15" x14ac:dyDescent="0.3">
      <c r="B132" s="32"/>
      <c r="G132" s="33"/>
      <c r="H132" s="34"/>
      <c r="I132" s="34"/>
      <c r="J132" s="35"/>
      <c r="K132" s="35"/>
      <c r="L132" s="36"/>
      <c r="O132" s="37"/>
    </row>
    <row r="133" spans="2:15" x14ac:dyDescent="0.3">
      <c r="B133" s="32"/>
      <c r="G133" s="33"/>
      <c r="H133" s="34"/>
      <c r="I133" s="34"/>
      <c r="J133" s="35"/>
      <c r="K133" s="35"/>
      <c r="L133" s="36"/>
      <c r="O133" s="37"/>
    </row>
    <row r="134" spans="2:15" x14ac:dyDescent="0.3">
      <c r="B134" s="32"/>
      <c r="G134" s="33"/>
      <c r="H134" s="34"/>
      <c r="I134" s="34"/>
      <c r="J134" s="35"/>
      <c r="K134" s="35"/>
      <c r="L134" s="36"/>
      <c r="O134" s="37"/>
    </row>
    <row r="135" spans="2:15" x14ac:dyDescent="0.3">
      <c r="B135" s="32"/>
      <c r="G135" s="33"/>
      <c r="H135" s="34"/>
      <c r="I135" s="34"/>
      <c r="J135" s="35"/>
      <c r="K135" s="35"/>
      <c r="L135" s="36"/>
      <c r="O135" s="37"/>
    </row>
    <row r="136" spans="2:15" x14ac:dyDescent="0.3">
      <c r="B136" s="32"/>
      <c r="G136" s="33"/>
      <c r="H136" s="34"/>
      <c r="I136" s="34"/>
      <c r="J136" s="35"/>
      <c r="K136" s="35"/>
      <c r="L136" s="36"/>
      <c r="O136" s="37"/>
    </row>
    <row r="137" spans="2:15" x14ac:dyDescent="0.3">
      <c r="B137" s="32"/>
      <c r="G137" s="33"/>
      <c r="H137" s="34"/>
      <c r="I137" s="34"/>
      <c r="J137" s="35"/>
      <c r="K137" s="35"/>
      <c r="L137" s="36"/>
      <c r="O137" s="37"/>
    </row>
    <row r="138" spans="2:15" x14ac:dyDescent="0.3">
      <c r="B138" s="32"/>
      <c r="G138" s="33"/>
      <c r="H138" s="34"/>
      <c r="I138" s="34"/>
      <c r="J138" s="35"/>
      <c r="K138" s="35"/>
      <c r="L138" s="36"/>
      <c r="O138" s="37"/>
    </row>
    <row r="139" spans="2:15" x14ac:dyDescent="0.3">
      <c r="B139" s="32"/>
      <c r="G139" s="33"/>
      <c r="H139" s="34"/>
      <c r="I139" s="34"/>
      <c r="J139" s="35"/>
      <c r="K139" s="35"/>
      <c r="L139" s="36"/>
      <c r="O139" s="37"/>
    </row>
    <row r="140" spans="2:15" x14ac:dyDescent="0.3">
      <c r="B140" s="32"/>
      <c r="G140" s="33"/>
      <c r="H140" s="34"/>
      <c r="I140" s="34"/>
      <c r="J140" s="35"/>
      <c r="K140" s="35"/>
      <c r="L140" s="36"/>
      <c r="O140" s="37"/>
    </row>
    <row r="141" spans="2:15" x14ac:dyDescent="0.3">
      <c r="B141" s="32"/>
      <c r="G141" s="33"/>
      <c r="H141" s="34"/>
      <c r="I141" s="34"/>
      <c r="J141" s="35"/>
      <c r="K141" s="35"/>
      <c r="L141" s="36"/>
      <c r="O141" s="37"/>
    </row>
    <row r="142" spans="2:15" x14ac:dyDescent="0.3">
      <c r="B142" s="32"/>
      <c r="G142" s="33"/>
      <c r="H142" s="34"/>
      <c r="I142" s="34"/>
      <c r="J142" s="35"/>
      <c r="K142" s="35"/>
      <c r="L142" s="36"/>
      <c r="O142" s="37"/>
    </row>
    <row r="143" spans="2:15" x14ac:dyDescent="0.3">
      <c r="B143" s="32"/>
      <c r="G143" s="33"/>
      <c r="H143" s="34"/>
      <c r="I143" s="34"/>
      <c r="J143" s="35"/>
      <c r="K143" s="35"/>
      <c r="L143" s="36"/>
      <c r="O143" s="37"/>
    </row>
    <row r="144" spans="2:15" x14ac:dyDescent="0.3">
      <c r="B144" s="32"/>
      <c r="G144" s="33"/>
      <c r="H144" s="34"/>
      <c r="I144" s="34"/>
      <c r="J144" s="35"/>
      <c r="K144" s="35"/>
      <c r="L144" s="36"/>
      <c r="O144" s="37"/>
    </row>
    <row r="145" spans="2:15" x14ac:dyDescent="0.3">
      <c r="B145" s="32"/>
      <c r="G145" s="33"/>
      <c r="H145" s="34"/>
      <c r="I145" s="34"/>
      <c r="J145" s="35"/>
      <c r="K145" s="35"/>
      <c r="L145" s="36"/>
      <c r="O145" s="37"/>
    </row>
    <row r="146" spans="2:15" x14ac:dyDescent="0.3">
      <c r="B146" s="32"/>
      <c r="G146" s="33"/>
      <c r="H146" s="34"/>
      <c r="I146" s="34"/>
      <c r="J146" s="35"/>
      <c r="K146" s="35"/>
      <c r="L146" s="36"/>
      <c r="O146" s="37"/>
    </row>
    <row r="147" spans="2:15" x14ac:dyDescent="0.3">
      <c r="B147" s="32"/>
      <c r="G147" s="33"/>
      <c r="H147" s="34"/>
      <c r="I147" s="34"/>
      <c r="J147" s="35"/>
      <c r="K147" s="35"/>
      <c r="L147" s="36"/>
      <c r="O147" s="37"/>
    </row>
    <row r="148" spans="2:15" x14ac:dyDescent="0.3">
      <c r="B148" s="32"/>
      <c r="G148" s="33"/>
      <c r="H148" s="34"/>
      <c r="I148" s="34"/>
      <c r="J148" s="35"/>
      <c r="K148" s="35"/>
      <c r="L148" s="36"/>
      <c r="O148" s="37"/>
    </row>
    <row r="149" spans="2:15" x14ac:dyDescent="0.3">
      <c r="B149" s="32"/>
      <c r="G149" s="33"/>
      <c r="H149" s="34"/>
      <c r="I149" s="34"/>
      <c r="J149" s="35"/>
      <c r="K149" s="35"/>
      <c r="L149" s="36"/>
      <c r="O149" s="37"/>
    </row>
    <row r="150" spans="2:15" x14ac:dyDescent="0.3">
      <c r="B150" s="32"/>
      <c r="G150" s="33"/>
      <c r="H150" s="34"/>
      <c r="I150" s="34"/>
      <c r="J150" s="35"/>
      <c r="K150" s="35"/>
      <c r="L150" s="36"/>
      <c r="O150" s="37"/>
    </row>
    <row r="151" spans="2:15" x14ac:dyDescent="0.3">
      <c r="B151" s="32"/>
      <c r="G151" s="33"/>
      <c r="H151" s="34"/>
      <c r="I151" s="34"/>
      <c r="J151" s="35"/>
      <c r="K151" s="35"/>
      <c r="L151" s="36"/>
      <c r="O151" s="37"/>
    </row>
    <row r="152" spans="2:15" x14ac:dyDescent="0.3">
      <c r="B152" s="32"/>
      <c r="G152" s="33"/>
      <c r="H152" s="34"/>
      <c r="I152" s="34"/>
      <c r="J152" s="35"/>
      <c r="K152" s="35"/>
      <c r="L152" s="36"/>
      <c r="O152" s="37"/>
    </row>
    <row r="153" spans="2:15" x14ac:dyDescent="0.3">
      <c r="B153" s="32"/>
      <c r="G153" s="33"/>
      <c r="H153" s="34"/>
      <c r="I153" s="34"/>
      <c r="J153" s="35"/>
      <c r="K153" s="35"/>
      <c r="L153" s="36"/>
      <c r="O153" s="37"/>
    </row>
    <row r="154" spans="2:15" x14ac:dyDescent="0.3">
      <c r="B154" s="32"/>
      <c r="G154" s="33"/>
      <c r="H154" s="34"/>
      <c r="I154" s="34"/>
      <c r="J154" s="35"/>
      <c r="K154" s="35"/>
      <c r="L154" s="36"/>
      <c r="O154" s="37"/>
    </row>
    <row r="155" spans="2:15" x14ac:dyDescent="0.3">
      <c r="B155" s="32"/>
      <c r="G155" s="33"/>
      <c r="H155" s="34"/>
      <c r="I155" s="34"/>
      <c r="J155" s="35"/>
      <c r="K155" s="35"/>
      <c r="L155" s="36"/>
      <c r="O155" s="37"/>
    </row>
    <row r="156" spans="2:15" x14ac:dyDescent="0.3">
      <c r="B156" s="32"/>
      <c r="G156" s="33"/>
      <c r="H156" s="34"/>
      <c r="I156" s="34"/>
      <c r="J156" s="35"/>
      <c r="K156" s="35"/>
      <c r="L156" s="36"/>
      <c r="O156" s="37"/>
    </row>
    <row r="157" spans="2:15" x14ac:dyDescent="0.3">
      <c r="B157" s="32"/>
      <c r="G157" s="33"/>
      <c r="H157" s="34"/>
      <c r="I157" s="34"/>
      <c r="J157" s="35"/>
      <c r="K157" s="35"/>
      <c r="L157" s="36"/>
      <c r="O157" s="37"/>
    </row>
    <row r="158" spans="2:15" x14ac:dyDescent="0.3">
      <c r="B158" s="32"/>
      <c r="G158" s="33"/>
      <c r="H158" s="34"/>
      <c r="I158" s="34"/>
      <c r="J158" s="35"/>
      <c r="K158" s="35"/>
      <c r="L158" s="36"/>
      <c r="O158" s="37"/>
    </row>
    <row r="159" spans="2:15" x14ac:dyDescent="0.3">
      <c r="B159" s="32"/>
      <c r="G159" s="33"/>
      <c r="H159" s="34"/>
      <c r="I159" s="34"/>
      <c r="J159" s="35"/>
      <c r="K159" s="35"/>
      <c r="L159" s="36"/>
      <c r="O159" s="37"/>
    </row>
    <row r="160" spans="2:15" x14ac:dyDescent="0.3">
      <c r="B160" s="32"/>
      <c r="G160" s="33"/>
      <c r="H160" s="34"/>
      <c r="I160" s="34"/>
      <c r="J160" s="35"/>
      <c r="K160" s="35"/>
      <c r="L160" s="36"/>
      <c r="O160" s="37"/>
    </row>
    <row r="161" spans="2:15" x14ac:dyDescent="0.3">
      <c r="B161" s="32"/>
      <c r="G161" s="33"/>
      <c r="H161" s="34"/>
      <c r="I161" s="34"/>
      <c r="J161" s="35"/>
      <c r="K161" s="35"/>
      <c r="L161" s="36"/>
      <c r="O161" s="37"/>
    </row>
    <row r="162" spans="2:15" x14ac:dyDescent="0.3">
      <c r="B162" s="32"/>
      <c r="G162" s="33"/>
      <c r="H162" s="34"/>
      <c r="I162" s="34"/>
      <c r="J162" s="35"/>
      <c r="K162" s="35"/>
      <c r="L162" s="36"/>
      <c r="O162" s="37"/>
    </row>
    <row r="163" spans="2:15" x14ac:dyDescent="0.3">
      <c r="B163" s="32"/>
      <c r="G163" s="33"/>
      <c r="H163" s="34"/>
      <c r="I163" s="34"/>
      <c r="J163" s="35"/>
      <c r="K163" s="35"/>
      <c r="L163" s="36"/>
      <c r="O163" s="37"/>
    </row>
    <row r="164" spans="2:15" x14ac:dyDescent="0.3">
      <c r="B164" s="32"/>
      <c r="G164" s="33"/>
      <c r="H164" s="34"/>
      <c r="I164" s="34"/>
      <c r="J164" s="35"/>
      <c r="K164" s="35"/>
      <c r="L164" s="36"/>
      <c r="O164" s="37"/>
    </row>
    <row r="165" spans="2:15" x14ac:dyDescent="0.3">
      <c r="B165" s="32"/>
      <c r="G165" s="33"/>
      <c r="H165" s="34"/>
      <c r="I165" s="34"/>
      <c r="J165" s="35"/>
      <c r="K165" s="35"/>
      <c r="L165" s="36"/>
      <c r="O165" s="37"/>
    </row>
    <row r="166" spans="2:15" x14ac:dyDescent="0.3">
      <c r="B166" s="32"/>
      <c r="G166" s="33"/>
      <c r="H166" s="34"/>
      <c r="I166" s="34"/>
      <c r="J166" s="35"/>
      <c r="K166" s="35"/>
      <c r="L166" s="36"/>
      <c r="O166" s="37"/>
    </row>
    <row r="167" spans="2:15" x14ac:dyDescent="0.3">
      <c r="B167" s="32"/>
      <c r="G167" s="33"/>
      <c r="H167" s="34"/>
      <c r="I167" s="34"/>
      <c r="J167" s="35"/>
      <c r="K167" s="35"/>
      <c r="L167" s="36"/>
      <c r="O167" s="37"/>
    </row>
    <row r="168" spans="2:15" x14ac:dyDescent="0.3">
      <c r="B168" s="32"/>
      <c r="G168" s="33"/>
      <c r="H168" s="34"/>
      <c r="I168" s="34"/>
      <c r="J168" s="35"/>
      <c r="K168" s="35"/>
      <c r="L168" s="36"/>
      <c r="O168" s="37"/>
    </row>
    <row r="169" spans="2:15" x14ac:dyDescent="0.3">
      <c r="B169" s="32"/>
      <c r="G169" s="33"/>
      <c r="H169" s="34"/>
      <c r="I169" s="34"/>
      <c r="J169" s="35"/>
      <c r="K169" s="35"/>
      <c r="L169" s="36"/>
      <c r="O169" s="37"/>
    </row>
    <row r="170" spans="2:15" x14ac:dyDescent="0.3">
      <c r="B170" s="32"/>
      <c r="G170" s="33"/>
      <c r="H170" s="34"/>
      <c r="I170" s="34"/>
      <c r="J170" s="35"/>
      <c r="K170" s="35"/>
      <c r="L170" s="36"/>
      <c r="O170" s="37"/>
    </row>
    <row r="171" spans="2:15" x14ac:dyDescent="0.3">
      <c r="B171" s="32"/>
      <c r="G171" s="33"/>
      <c r="H171" s="34"/>
      <c r="I171" s="34"/>
      <c r="J171" s="35"/>
      <c r="K171" s="35"/>
      <c r="L171" s="36"/>
      <c r="O171" s="37"/>
    </row>
    <row r="172" spans="2:15" x14ac:dyDescent="0.3">
      <c r="B172" s="32"/>
      <c r="G172" s="33"/>
      <c r="H172" s="34"/>
      <c r="I172" s="34"/>
      <c r="J172" s="35"/>
      <c r="K172" s="35"/>
      <c r="L172" s="36"/>
      <c r="O172" s="37"/>
    </row>
    <row r="173" spans="2:15" x14ac:dyDescent="0.3">
      <c r="B173" s="32"/>
      <c r="G173" s="33"/>
      <c r="H173" s="34"/>
      <c r="I173" s="34"/>
      <c r="J173" s="35"/>
      <c r="K173" s="35"/>
      <c r="L173" s="36"/>
      <c r="O173" s="37"/>
    </row>
    <row r="174" spans="2:15" x14ac:dyDescent="0.3">
      <c r="B174" s="32"/>
      <c r="G174" s="33"/>
      <c r="H174" s="34"/>
      <c r="I174" s="34"/>
      <c r="J174" s="35"/>
      <c r="K174" s="35"/>
      <c r="L174" s="36"/>
      <c r="O174" s="37"/>
    </row>
    <row r="175" spans="2:15" x14ac:dyDescent="0.3">
      <c r="B175" s="32"/>
      <c r="G175" s="33"/>
      <c r="H175" s="34"/>
      <c r="I175" s="34"/>
      <c r="J175" s="35"/>
      <c r="K175" s="35"/>
      <c r="L175" s="36"/>
      <c r="O175" s="37"/>
    </row>
    <row r="176" spans="2:15" x14ac:dyDescent="0.3">
      <c r="B176" s="32"/>
      <c r="G176" s="33"/>
      <c r="H176" s="34"/>
      <c r="I176" s="34"/>
      <c r="J176" s="35"/>
      <c r="K176" s="35"/>
      <c r="L176" s="36"/>
      <c r="O176" s="37"/>
    </row>
    <row r="177" spans="2:15" x14ac:dyDescent="0.3">
      <c r="B177" s="32"/>
      <c r="G177" s="33"/>
      <c r="H177" s="34"/>
      <c r="I177" s="34"/>
      <c r="J177" s="35"/>
      <c r="K177" s="35"/>
      <c r="L177" s="36"/>
      <c r="O177" s="37"/>
    </row>
    <row r="178" spans="2:15" x14ac:dyDescent="0.3">
      <c r="B178" s="32"/>
      <c r="G178" s="33"/>
      <c r="H178" s="34"/>
      <c r="I178" s="34"/>
      <c r="J178" s="35"/>
      <c r="K178" s="35"/>
      <c r="L178" s="36"/>
      <c r="O178" s="37"/>
    </row>
    <row r="179" spans="2:15" x14ac:dyDescent="0.3">
      <c r="B179" s="32"/>
      <c r="G179" s="33"/>
      <c r="H179" s="34"/>
      <c r="I179" s="34"/>
      <c r="J179" s="35"/>
      <c r="K179" s="35"/>
      <c r="L179" s="36"/>
      <c r="O179" s="37"/>
    </row>
    <row r="180" spans="2:15" x14ac:dyDescent="0.3">
      <c r="B180" s="32"/>
      <c r="G180" s="33"/>
      <c r="H180" s="34"/>
      <c r="I180" s="34"/>
      <c r="J180" s="35"/>
      <c r="K180" s="35"/>
      <c r="L180" s="36"/>
      <c r="O180" s="37"/>
    </row>
    <row r="181" spans="2:15" x14ac:dyDescent="0.3">
      <c r="B181" s="32"/>
      <c r="G181" s="33"/>
      <c r="H181" s="34"/>
      <c r="I181" s="34"/>
      <c r="J181" s="35"/>
      <c r="K181" s="35"/>
      <c r="L181" s="36"/>
      <c r="O181" s="37"/>
    </row>
    <row r="182" spans="2:15" x14ac:dyDescent="0.3">
      <c r="B182" s="32"/>
      <c r="G182" s="33"/>
      <c r="H182" s="34"/>
      <c r="I182" s="34"/>
      <c r="J182" s="35"/>
      <c r="K182" s="35"/>
      <c r="L182" s="36"/>
      <c r="O182" s="37"/>
    </row>
    <row r="183" spans="2:15" x14ac:dyDescent="0.3">
      <c r="B183" s="32"/>
      <c r="G183" s="33"/>
      <c r="H183" s="34"/>
      <c r="I183" s="34"/>
      <c r="J183" s="35"/>
      <c r="K183" s="35"/>
      <c r="L183" s="36"/>
      <c r="O183" s="37"/>
    </row>
    <row r="184" spans="2:15" x14ac:dyDescent="0.3">
      <c r="B184" s="32"/>
      <c r="G184" s="33"/>
      <c r="H184" s="34"/>
      <c r="I184" s="34"/>
      <c r="J184" s="35"/>
      <c r="K184" s="35"/>
      <c r="L184" s="36"/>
      <c r="O184" s="37"/>
    </row>
    <row r="185" spans="2:15" x14ac:dyDescent="0.3">
      <c r="B185" s="32"/>
      <c r="G185" s="33"/>
      <c r="H185" s="34"/>
      <c r="I185" s="34"/>
      <c r="J185" s="35"/>
      <c r="K185" s="35"/>
      <c r="L185" s="36"/>
      <c r="O185" s="37"/>
    </row>
    <row r="186" spans="2:15" x14ac:dyDescent="0.3">
      <c r="B186" s="32"/>
      <c r="G186" s="33"/>
      <c r="H186" s="34"/>
      <c r="I186" s="34"/>
      <c r="J186" s="35"/>
      <c r="K186" s="35"/>
      <c r="L186" s="36"/>
      <c r="O186" s="37"/>
    </row>
    <row r="187" spans="2:15" x14ac:dyDescent="0.3">
      <c r="B187" s="32"/>
      <c r="G187" s="33"/>
      <c r="H187" s="34"/>
      <c r="I187" s="34"/>
      <c r="J187" s="35"/>
      <c r="K187" s="35"/>
      <c r="L187" s="36"/>
      <c r="O187" s="37"/>
    </row>
    <row r="188" spans="2:15" x14ac:dyDescent="0.3">
      <c r="B188" s="32"/>
      <c r="G188" s="33"/>
      <c r="H188" s="34"/>
      <c r="I188" s="34"/>
      <c r="J188" s="35"/>
      <c r="K188" s="35"/>
      <c r="L188" s="36"/>
      <c r="O188" s="37"/>
    </row>
    <row r="189" spans="2:15" x14ac:dyDescent="0.3">
      <c r="B189" s="32"/>
      <c r="G189" s="33"/>
      <c r="H189" s="34"/>
      <c r="I189" s="34"/>
      <c r="J189" s="35"/>
      <c r="K189" s="35"/>
      <c r="L189" s="36"/>
      <c r="O189" s="37"/>
    </row>
    <row r="190" spans="2:15" x14ac:dyDescent="0.3">
      <c r="B190" s="32"/>
      <c r="G190" s="33"/>
      <c r="H190" s="34"/>
      <c r="I190" s="34"/>
      <c r="J190" s="35"/>
      <c r="K190" s="35"/>
      <c r="L190" s="36"/>
      <c r="O190" s="37"/>
    </row>
    <row r="191" spans="2:15" x14ac:dyDescent="0.3">
      <c r="B191" s="32"/>
      <c r="G191" s="33"/>
      <c r="H191" s="34"/>
      <c r="I191" s="34"/>
      <c r="J191" s="35"/>
      <c r="K191" s="35"/>
      <c r="L191" s="36"/>
      <c r="O191" s="37"/>
    </row>
    <row r="192" spans="2:15" x14ac:dyDescent="0.3">
      <c r="B192" s="32"/>
      <c r="G192" s="33"/>
      <c r="H192" s="34"/>
      <c r="I192" s="34"/>
      <c r="J192" s="35"/>
      <c r="K192" s="35"/>
      <c r="L192" s="36"/>
      <c r="O192" s="37"/>
    </row>
    <row r="193" spans="2:15" x14ac:dyDescent="0.3">
      <c r="B193" s="32"/>
      <c r="G193" s="33"/>
      <c r="H193" s="34"/>
      <c r="I193" s="34"/>
      <c r="J193" s="35"/>
      <c r="K193" s="35"/>
      <c r="L193" s="36"/>
      <c r="O193" s="37"/>
    </row>
    <row r="194" spans="2:15" x14ac:dyDescent="0.3">
      <c r="B194" s="32"/>
      <c r="G194" s="33"/>
      <c r="H194" s="34"/>
      <c r="I194" s="34"/>
      <c r="J194" s="35"/>
      <c r="K194" s="35"/>
      <c r="L194" s="36"/>
      <c r="O194" s="37"/>
    </row>
    <row r="195" spans="2:15" x14ac:dyDescent="0.3">
      <c r="B195" s="32"/>
      <c r="G195" s="33"/>
      <c r="H195" s="34"/>
      <c r="I195" s="34"/>
      <c r="J195" s="35"/>
      <c r="K195" s="35"/>
      <c r="L195" s="36"/>
      <c r="O195" s="37"/>
    </row>
    <row r="196" spans="2:15" x14ac:dyDescent="0.3">
      <c r="B196" s="32"/>
      <c r="G196" s="33"/>
      <c r="H196" s="34"/>
      <c r="I196" s="34"/>
      <c r="J196" s="35"/>
      <c r="K196" s="35"/>
      <c r="L196" s="36"/>
      <c r="O196" s="37"/>
    </row>
    <row r="197" spans="2:15" x14ac:dyDescent="0.3">
      <c r="B197" s="32"/>
      <c r="G197" s="33"/>
      <c r="H197" s="34"/>
      <c r="I197" s="34"/>
      <c r="J197" s="35"/>
      <c r="K197" s="35"/>
      <c r="L197" s="36"/>
      <c r="O197" s="37"/>
    </row>
    <row r="198" spans="2:15" x14ac:dyDescent="0.3">
      <c r="B198" s="32"/>
      <c r="G198" s="33"/>
      <c r="H198" s="34"/>
      <c r="I198" s="34"/>
      <c r="J198" s="35"/>
      <c r="K198" s="35"/>
      <c r="L198" s="36"/>
      <c r="O198" s="37"/>
    </row>
    <row r="199" spans="2:15" x14ac:dyDescent="0.3">
      <c r="B199" s="32"/>
      <c r="G199" s="33"/>
      <c r="H199" s="34"/>
      <c r="I199" s="34"/>
      <c r="J199" s="35"/>
      <c r="K199" s="35"/>
      <c r="L199" s="36"/>
      <c r="O199" s="37"/>
    </row>
    <row r="200" spans="2:15" x14ac:dyDescent="0.3">
      <c r="B200" s="32"/>
      <c r="G200" s="33"/>
      <c r="H200" s="34"/>
      <c r="I200" s="34"/>
      <c r="J200" s="35"/>
      <c r="K200" s="35"/>
      <c r="L200" s="36"/>
      <c r="O200" s="37"/>
    </row>
    <row r="201" spans="2:15" x14ac:dyDescent="0.3">
      <c r="B201" s="32"/>
      <c r="G201" s="33"/>
      <c r="H201" s="34"/>
      <c r="I201" s="34"/>
      <c r="J201" s="35"/>
      <c r="K201" s="35"/>
      <c r="L201" s="36"/>
      <c r="O201" s="37"/>
    </row>
    <row r="202" spans="2:15" x14ac:dyDescent="0.3">
      <c r="B202" s="32"/>
      <c r="G202" s="33"/>
      <c r="H202" s="34"/>
      <c r="I202" s="34"/>
      <c r="J202" s="35"/>
      <c r="K202" s="35"/>
      <c r="L202" s="36"/>
      <c r="O202" s="37"/>
    </row>
    <row r="203" spans="2:15" x14ac:dyDescent="0.3">
      <c r="B203" s="32"/>
      <c r="G203" s="33"/>
      <c r="H203" s="34"/>
      <c r="I203" s="34"/>
      <c r="J203" s="35"/>
      <c r="K203" s="35"/>
      <c r="L203" s="36"/>
      <c r="O203" s="37"/>
    </row>
    <row r="204" spans="2:15" x14ac:dyDescent="0.3">
      <c r="B204" s="32"/>
      <c r="G204" s="33"/>
      <c r="H204" s="34"/>
      <c r="I204" s="34"/>
      <c r="J204" s="35"/>
      <c r="K204" s="35"/>
      <c r="L204" s="36"/>
      <c r="O204" s="37"/>
    </row>
    <row r="205" spans="2:15" x14ac:dyDescent="0.3">
      <c r="B205" s="32"/>
      <c r="G205" s="33"/>
      <c r="H205" s="34"/>
      <c r="I205" s="34"/>
      <c r="J205" s="35"/>
      <c r="K205" s="35"/>
      <c r="L205" s="36"/>
      <c r="O205" s="37"/>
    </row>
    <row r="206" spans="2:15" x14ac:dyDescent="0.3">
      <c r="B206" s="32"/>
      <c r="G206" s="33"/>
      <c r="H206" s="34"/>
      <c r="I206" s="34"/>
      <c r="J206" s="35"/>
      <c r="K206" s="35"/>
      <c r="L206" s="36"/>
      <c r="O206" s="37"/>
    </row>
    <row r="207" spans="2:15" x14ac:dyDescent="0.3">
      <c r="B207" s="32"/>
      <c r="G207" s="33"/>
      <c r="H207" s="34"/>
      <c r="I207" s="34"/>
      <c r="J207" s="35"/>
      <c r="K207" s="35"/>
      <c r="L207" s="36"/>
      <c r="O207" s="37"/>
    </row>
    <row r="208" spans="2:15" x14ac:dyDescent="0.3">
      <c r="B208" s="32"/>
      <c r="G208" s="33"/>
      <c r="H208" s="34"/>
      <c r="I208" s="34"/>
      <c r="J208" s="35"/>
      <c r="K208" s="35"/>
      <c r="L208" s="36"/>
      <c r="O208" s="37"/>
    </row>
    <row r="209" spans="2:15" x14ac:dyDescent="0.3">
      <c r="B209" s="32"/>
      <c r="G209" s="33"/>
      <c r="H209" s="34"/>
      <c r="I209" s="34"/>
      <c r="J209" s="35"/>
      <c r="K209" s="35"/>
      <c r="L209" s="36"/>
      <c r="O209" s="37"/>
    </row>
    <row r="210" spans="2:15" x14ac:dyDescent="0.3">
      <c r="B210" s="32"/>
      <c r="G210" s="33"/>
      <c r="H210" s="34"/>
      <c r="I210" s="34"/>
      <c r="J210" s="35"/>
      <c r="K210" s="35"/>
      <c r="L210" s="36"/>
      <c r="O210" s="37"/>
    </row>
    <row r="211" spans="2:15" x14ac:dyDescent="0.3">
      <c r="B211" s="32"/>
      <c r="G211" s="33"/>
      <c r="H211" s="34"/>
      <c r="I211" s="34"/>
      <c r="J211" s="35"/>
      <c r="K211" s="35"/>
      <c r="L211" s="36"/>
      <c r="O211" s="37"/>
    </row>
    <row r="212" spans="2:15" x14ac:dyDescent="0.3">
      <c r="B212" s="32"/>
      <c r="G212" s="33"/>
      <c r="H212" s="34"/>
      <c r="I212" s="34"/>
      <c r="J212" s="35"/>
      <c r="K212" s="35"/>
      <c r="L212" s="36"/>
      <c r="O212" s="37"/>
    </row>
    <row r="213" spans="2:15" x14ac:dyDescent="0.3">
      <c r="B213" s="32"/>
      <c r="G213" s="33"/>
      <c r="H213" s="34"/>
      <c r="I213" s="34"/>
      <c r="J213" s="35"/>
      <c r="K213" s="35"/>
      <c r="L213" s="36"/>
      <c r="O213" s="37"/>
    </row>
    <row r="214" spans="2:15" x14ac:dyDescent="0.3">
      <c r="B214" s="32"/>
      <c r="G214" s="33"/>
      <c r="H214" s="34"/>
      <c r="I214" s="34"/>
      <c r="J214" s="35"/>
      <c r="K214" s="35"/>
      <c r="L214" s="36"/>
      <c r="O214" s="37"/>
    </row>
    <row r="215" spans="2:15" x14ac:dyDescent="0.3">
      <c r="B215" s="32"/>
      <c r="G215" s="33"/>
      <c r="H215" s="34"/>
      <c r="I215" s="34"/>
      <c r="J215" s="35"/>
      <c r="K215" s="35"/>
      <c r="L215" s="36"/>
      <c r="O215" s="37"/>
    </row>
    <row r="216" spans="2:15" x14ac:dyDescent="0.3">
      <c r="B216" s="32"/>
      <c r="G216" s="33"/>
      <c r="H216" s="34"/>
      <c r="I216" s="34"/>
      <c r="J216" s="35"/>
      <c r="K216" s="35"/>
      <c r="L216" s="36"/>
      <c r="O216" s="37"/>
    </row>
    <row r="217" spans="2:15" x14ac:dyDescent="0.3">
      <c r="B217" s="32"/>
      <c r="G217" s="33"/>
      <c r="H217" s="34"/>
      <c r="I217" s="34"/>
      <c r="J217" s="35"/>
      <c r="K217" s="35"/>
      <c r="L217" s="36"/>
      <c r="O217" s="37"/>
    </row>
    <row r="218" spans="2:15" x14ac:dyDescent="0.3">
      <c r="B218" s="32"/>
      <c r="G218" s="33"/>
      <c r="H218" s="34"/>
      <c r="I218" s="34"/>
      <c r="J218" s="35"/>
      <c r="K218" s="35"/>
      <c r="L218" s="36"/>
      <c r="O218" s="37"/>
    </row>
    <row r="219" spans="2:15" x14ac:dyDescent="0.3">
      <c r="B219" s="32"/>
      <c r="G219" s="33"/>
      <c r="H219" s="34"/>
      <c r="I219" s="34"/>
      <c r="J219" s="35"/>
      <c r="K219" s="35"/>
      <c r="L219" s="36"/>
      <c r="O219" s="37"/>
    </row>
    <row r="220" spans="2:15" x14ac:dyDescent="0.3">
      <c r="B220" s="32"/>
      <c r="G220" s="33"/>
      <c r="H220" s="34"/>
      <c r="I220" s="34"/>
      <c r="J220" s="35"/>
      <c r="K220" s="35"/>
      <c r="L220" s="36"/>
      <c r="O220" s="37"/>
    </row>
    <row r="221" spans="2:15" x14ac:dyDescent="0.3">
      <c r="B221" s="32"/>
      <c r="G221" s="33"/>
      <c r="H221" s="34"/>
      <c r="I221" s="34"/>
      <c r="J221" s="35"/>
      <c r="K221" s="35"/>
      <c r="L221" s="36"/>
      <c r="O221" s="37"/>
    </row>
    <row r="222" spans="2:15" x14ac:dyDescent="0.3">
      <c r="B222" s="32"/>
      <c r="G222" s="33"/>
      <c r="H222" s="34"/>
      <c r="I222" s="34"/>
      <c r="J222" s="35"/>
      <c r="K222" s="35"/>
      <c r="L222" s="36"/>
      <c r="O222" s="37"/>
    </row>
    <row r="223" spans="2:15" x14ac:dyDescent="0.3">
      <c r="B223" s="32"/>
      <c r="G223" s="33"/>
      <c r="H223" s="34"/>
      <c r="I223" s="34"/>
      <c r="J223" s="35"/>
      <c r="K223" s="35"/>
      <c r="L223" s="36"/>
      <c r="O223" s="37"/>
    </row>
    <row r="224" spans="2:15" x14ac:dyDescent="0.3">
      <c r="B224" s="32"/>
      <c r="G224" s="33"/>
      <c r="H224" s="34"/>
      <c r="I224" s="34"/>
      <c r="J224" s="35"/>
      <c r="K224" s="35"/>
      <c r="L224" s="36"/>
      <c r="O224" s="37"/>
    </row>
    <row r="225" spans="2:15" x14ac:dyDescent="0.3">
      <c r="B225" s="32"/>
      <c r="G225" s="33"/>
      <c r="H225" s="34"/>
      <c r="I225" s="34"/>
      <c r="J225" s="35"/>
      <c r="K225" s="35"/>
      <c r="L225" s="36"/>
      <c r="O225" s="37"/>
    </row>
    <row r="226" spans="2:15" x14ac:dyDescent="0.3">
      <c r="B226" s="32"/>
      <c r="G226" s="33"/>
      <c r="H226" s="34"/>
      <c r="I226" s="34"/>
      <c r="J226" s="35"/>
      <c r="K226" s="35"/>
      <c r="L226" s="36"/>
      <c r="O226" s="37"/>
    </row>
    <row r="227" spans="2:15" x14ac:dyDescent="0.3">
      <c r="B227" s="32"/>
      <c r="G227" s="33"/>
      <c r="H227" s="34"/>
      <c r="I227" s="34"/>
      <c r="J227" s="35"/>
      <c r="K227" s="35"/>
      <c r="L227" s="36"/>
      <c r="O227" s="37"/>
    </row>
    <row r="228" spans="2:15" x14ac:dyDescent="0.3">
      <c r="B228" s="32"/>
      <c r="G228" s="33"/>
      <c r="H228" s="34"/>
      <c r="I228" s="34"/>
      <c r="J228" s="35"/>
      <c r="K228" s="35"/>
      <c r="L228" s="36"/>
      <c r="O228" s="37"/>
    </row>
    <row r="229" spans="2:15" x14ac:dyDescent="0.3">
      <c r="B229" s="32"/>
      <c r="G229" s="33"/>
      <c r="H229" s="34"/>
      <c r="I229" s="34"/>
      <c r="J229" s="35"/>
      <c r="K229" s="35"/>
      <c r="L229" s="36"/>
      <c r="O229" s="37"/>
    </row>
    <row r="230" spans="2:15" x14ac:dyDescent="0.3">
      <c r="B230" s="32"/>
      <c r="G230" s="33"/>
      <c r="H230" s="34"/>
      <c r="I230" s="34"/>
      <c r="J230" s="35"/>
      <c r="K230" s="35"/>
      <c r="L230" s="36"/>
      <c r="O230" s="37"/>
    </row>
    <row r="231" spans="2:15" x14ac:dyDescent="0.3">
      <c r="B231" s="32"/>
      <c r="G231" s="33"/>
      <c r="H231" s="34"/>
      <c r="I231" s="34"/>
      <c r="J231" s="35"/>
      <c r="K231" s="35"/>
      <c r="L231" s="36"/>
      <c r="O231" s="37"/>
    </row>
    <row r="232" spans="2:15" x14ac:dyDescent="0.3">
      <c r="B232" s="32"/>
      <c r="G232" s="33"/>
      <c r="H232" s="34"/>
      <c r="I232" s="34"/>
      <c r="J232" s="35"/>
      <c r="K232" s="35"/>
      <c r="L232" s="36"/>
      <c r="O232" s="37"/>
    </row>
    <row r="233" spans="2:15" x14ac:dyDescent="0.3">
      <c r="B233" s="32"/>
      <c r="G233" s="33"/>
      <c r="H233" s="34"/>
      <c r="I233" s="34"/>
      <c r="J233" s="35"/>
      <c r="K233" s="35"/>
      <c r="L233" s="36"/>
      <c r="O233" s="37"/>
    </row>
    <row r="234" spans="2:15" x14ac:dyDescent="0.3">
      <c r="B234" s="32"/>
      <c r="G234" s="33"/>
      <c r="H234" s="34"/>
      <c r="I234" s="34"/>
      <c r="J234" s="35"/>
      <c r="K234" s="35"/>
      <c r="L234" s="36"/>
      <c r="O234" s="37"/>
    </row>
    <row r="235" spans="2:15" x14ac:dyDescent="0.3">
      <c r="B235" s="32"/>
      <c r="G235" s="33"/>
      <c r="H235" s="34"/>
      <c r="I235" s="34"/>
      <c r="J235" s="35"/>
      <c r="K235" s="35"/>
      <c r="L235" s="36"/>
      <c r="O235" s="37"/>
    </row>
    <row r="236" spans="2:15" x14ac:dyDescent="0.3">
      <c r="B236" s="32"/>
      <c r="G236" s="33"/>
      <c r="H236" s="34"/>
      <c r="I236" s="34"/>
      <c r="J236" s="35"/>
      <c r="K236" s="35"/>
      <c r="L236" s="36"/>
      <c r="O236" s="37"/>
    </row>
    <row r="237" spans="2:15" x14ac:dyDescent="0.3">
      <c r="B237" s="32"/>
      <c r="G237" s="33"/>
      <c r="H237" s="34"/>
      <c r="I237" s="34"/>
      <c r="J237" s="35"/>
      <c r="K237" s="35"/>
      <c r="L237" s="36"/>
      <c r="O237" s="37"/>
    </row>
    <row r="238" spans="2:15" x14ac:dyDescent="0.3">
      <c r="B238" s="32"/>
      <c r="G238" s="33"/>
      <c r="H238" s="34"/>
      <c r="I238" s="34"/>
      <c r="J238" s="35"/>
      <c r="K238" s="35"/>
      <c r="L238" s="36"/>
      <c r="O238" s="37"/>
    </row>
    <row r="239" spans="2:15" x14ac:dyDescent="0.3">
      <c r="B239" s="32"/>
      <c r="G239" s="33"/>
      <c r="H239" s="34"/>
      <c r="I239" s="34"/>
      <c r="J239" s="35"/>
      <c r="K239" s="35"/>
      <c r="L239" s="36"/>
      <c r="O239" s="37"/>
    </row>
    <row r="240" spans="2:15" x14ac:dyDescent="0.3">
      <c r="B240" s="32"/>
      <c r="G240" s="33"/>
      <c r="H240" s="34"/>
      <c r="I240" s="34"/>
      <c r="J240" s="35"/>
      <c r="K240" s="35"/>
      <c r="L240" s="36"/>
      <c r="O240" s="37"/>
    </row>
    <row r="241" spans="2:15" x14ac:dyDescent="0.3">
      <c r="B241" s="32"/>
      <c r="G241" s="33"/>
      <c r="H241" s="34"/>
      <c r="I241" s="34"/>
      <c r="J241" s="35"/>
      <c r="K241" s="35"/>
      <c r="L241" s="36"/>
      <c r="O241" s="37"/>
    </row>
    <row r="242" spans="2:15" x14ac:dyDescent="0.3">
      <c r="B242" s="32"/>
      <c r="G242" s="33"/>
      <c r="H242" s="34"/>
      <c r="I242" s="34"/>
      <c r="J242" s="35"/>
      <c r="K242" s="35"/>
      <c r="L242" s="36"/>
      <c r="O242" s="37"/>
    </row>
    <row r="243" spans="2:15" x14ac:dyDescent="0.3">
      <c r="B243" s="32"/>
      <c r="G243" s="33"/>
      <c r="H243" s="34"/>
      <c r="I243" s="34"/>
      <c r="J243" s="35"/>
      <c r="K243" s="35"/>
      <c r="L243" s="36"/>
      <c r="O243" s="37"/>
    </row>
    <row r="244" spans="2:15" x14ac:dyDescent="0.3">
      <c r="B244" s="32"/>
      <c r="G244" s="33"/>
      <c r="H244" s="34"/>
      <c r="I244" s="34"/>
      <c r="J244" s="35"/>
      <c r="K244" s="35"/>
      <c r="L244" s="36"/>
      <c r="O244" s="37"/>
    </row>
    <row r="245" spans="2:15" x14ac:dyDescent="0.3">
      <c r="B245" s="32"/>
      <c r="G245" s="33"/>
      <c r="H245" s="34"/>
      <c r="I245" s="34"/>
      <c r="J245" s="35"/>
      <c r="K245" s="35"/>
      <c r="L245" s="36"/>
      <c r="O245" s="37"/>
    </row>
    <row r="246" spans="2:15" x14ac:dyDescent="0.3">
      <c r="B246" s="32"/>
      <c r="G246" s="33"/>
      <c r="H246" s="34"/>
      <c r="I246" s="34"/>
      <c r="J246" s="35"/>
      <c r="K246" s="35"/>
      <c r="L246" s="36"/>
      <c r="O246" s="37"/>
    </row>
    <row r="247" spans="2:15" x14ac:dyDescent="0.3">
      <c r="B247" s="32"/>
      <c r="G247" s="33"/>
      <c r="H247" s="34"/>
      <c r="I247" s="34"/>
      <c r="J247" s="35"/>
      <c r="K247" s="35"/>
      <c r="L247" s="36"/>
      <c r="O247" s="37"/>
    </row>
    <row r="248" spans="2:15" x14ac:dyDescent="0.3">
      <c r="B248" s="32"/>
      <c r="G248" s="33"/>
      <c r="H248" s="34"/>
      <c r="I248" s="34"/>
      <c r="J248" s="35"/>
      <c r="K248" s="35"/>
      <c r="L248" s="36"/>
      <c r="O248" s="37"/>
    </row>
    <row r="249" spans="2:15" x14ac:dyDescent="0.3">
      <c r="B249" s="32"/>
      <c r="G249" s="33"/>
      <c r="H249" s="34"/>
      <c r="I249" s="34"/>
      <c r="J249" s="35"/>
      <c r="K249" s="35"/>
      <c r="L249" s="36"/>
      <c r="O249" s="37"/>
    </row>
    <row r="250" spans="2:15" x14ac:dyDescent="0.3">
      <c r="B250" s="32"/>
      <c r="G250" s="33"/>
      <c r="H250" s="34"/>
      <c r="I250" s="34"/>
      <c r="J250" s="35"/>
      <c r="K250" s="35"/>
      <c r="L250" s="36"/>
      <c r="O250" s="37"/>
    </row>
    <row r="251" spans="2:15" x14ac:dyDescent="0.3">
      <c r="B251" s="32"/>
      <c r="G251" s="33"/>
      <c r="H251" s="34"/>
      <c r="I251" s="34"/>
      <c r="J251" s="35"/>
      <c r="K251" s="35"/>
      <c r="L251" s="36"/>
      <c r="O251" s="37"/>
    </row>
    <row r="252" spans="2:15" x14ac:dyDescent="0.3">
      <c r="B252" s="32"/>
      <c r="G252" s="33"/>
      <c r="H252" s="34"/>
      <c r="I252" s="34"/>
      <c r="J252" s="35"/>
      <c r="K252" s="35"/>
      <c r="L252" s="36"/>
      <c r="O252" s="37"/>
    </row>
    <row r="253" spans="2:15" x14ac:dyDescent="0.3">
      <c r="B253" s="32"/>
      <c r="G253" s="33"/>
      <c r="H253" s="34"/>
      <c r="I253" s="34"/>
      <c r="J253" s="35"/>
      <c r="K253" s="35"/>
      <c r="L253" s="36"/>
      <c r="O253" s="37"/>
    </row>
    <row r="254" spans="2:15" x14ac:dyDescent="0.3">
      <c r="B254" s="32"/>
      <c r="G254" s="33"/>
      <c r="H254" s="34"/>
      <c r="I254" s="34"/>
      <c r="J254" s="35"/>
      <c r="K254" s="35"/>
      <c r="L254" s="36"/>
      <c r="O254" s="37"/>
    </row>
    <row r="255" spans="2:15" x14ac:dyDescent="0.3">
      <c r="B255" s="32"/>
      <c r="G255" s="33"/>
      <c r="H255" s="34"/>
      <c r="I255" s="34"/>
      <c r="J255" s="35"/>
      <c r="K255" s="35"/>
      <c r="L255" s="36"/>
      <c r="O255" s="37"/>
    </row>
  </sheetData>
  <sortState xmlns:xlrd2="http://schemas.microsoft.com/office/spreadsheetml/2017/richdata2" ref="A2:O23">
    <sortCondition descending="1" ref="O2:O2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18C3E-70F4-4808-9492-ACEE6A8E3630}">
  <sheetPr codeName="Sheet8"/>
  <dimension ref="A1:J2"/>
  <sheetViews>
    <sheetView workbookViewId="0"/>
  </sheetViews>
  <sheetFormatPr defaultRowHeight="14.4" x14ac:dyDescent="0.3"/>
  <cols>
    <col min="1" max="1" width="18.109375" bestFit="1" customWidth="1"/>
    <col min="2" max="2" width="10.5546875" bestFit="1" customWidth="1"/>
    <col min="3" max="3" width="9" bestFit="1" customWidth="1"/>
    <col min="4" max="4" width="14.77734375" bestFit="1" customWidth="1"/>
    <col min="5" max="5" width="17.88671875" bestFit="1" customWidth="1"/>
    <col min="6" max="6" width="16.44140625" bestFit="1" customWidth="1"/>
    <col min="7" max="7" width="14.6640625" bestFit="1" customWidth="1"/>
    <col min="8" max="8" width="9" bestFit="1" customWidth="1"/>
    <col min="9" max="9" width="8.5546875" bestFit="1" customWidth="1"/>
    <col min="10" max="10" width="10.5546875" bestFit="1" customWidth="1"/>
  </cols>
  <sheetData>
    <row r="1" spans="1:10" x14ac:dyDescent="0.3">
      <c r="A1" s="30" t="s">
        <v>600</v>
      </c>
      <c r="B1" s="30" t="s">
        <v>601</v>
      </c>
      <c r="C1" s="30" t="s">
        <v>602</v>
      </c>
      <c r="D1" s="30" t="s">
        <v>603</v>
      </c>
      <c r="E1" s="30" t="s">
        <v>604</v>
      </c>
      <c r="F1" s="30" t="s">
        <v>605</v>
      </c>
      <c r="G1" s="30" t="s">
        <v>606</v>
      </c>
      <c r="H1" s="30" t="s">
        <v>607</v>
      </c>
      <c r="I1" s="30" t="s">
        <v>574</v>
      </c>
      <c r="J1" s="30" t="s">
        <v>608</v>
      </c>
    </row>
    <row r="2" spans="1:10" x14ac:dyDescent="0.3">
      <c r="A2" s="38">
        <v>46294.495393518519</v>
      </c>
      <c r="B2" s="32">
        <v>46293</v>
      </c>
      <c r="C2">
        <v>254</v>
      </c>
      <c r="D2">
        <v>250</v>
      </c>
      <c r="E2">
        <v>4</v>
      </c>
      <c r="F2">
        <v>6</v>
      </c>
      <c r="G2">
        <v>2</v>
      </c>
      <c r="H2">
        <v>5</v>
      </c>
      <c r="I2">
        <v>22</v>
      </c>
      <c r="J2" s="39">
        <v>9.0909090909090912E-2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README</vt:lpstr>
      <vt:lpstr>Thresholds</vt:lpstr>
      <vt:lpstr>Raw_Data</vt:lpstr>
      <vt:lpstr>Checks</vt:lpstr>
      <vt:lpstr>Summary</vt:lpstr>
      <vt:lpstr>Clean_Data</vt:lpstr>
      <vt:lpstr>Exceptions</vt:lpstr>
      <vt:lpstr>Run_Log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Arone Benedict L</cp:lastModifiedBy>
  <cp:revision>0</cp:revision>
  <dcterms:created xsi:type="dcterms:W3CDTF">2026-09-29T05:37:12Z</dcterms:created>
  <dcterms:modified xsi:type="dcterms:W3CDTF">2026-09-29T06:24:19Z</dcterms:modified>
  <dc:language>en-US</dc:language>
</cp:coreProperties>
</file>
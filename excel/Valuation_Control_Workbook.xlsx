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hresholds" sheetId="2" state="visible" r:id="rId4"/>
    <sheet name="Raw_Data" sheetId="3" state="visible" r:id="rId5"/>
    <sheet name="Checks" sheetId="4" state="visible" r:id="rId6"/>
    <sheet name="Summary" sheetId="5" state="visible" r:id="rId7"/>
  </sheets>
  <definedNames>
    <definedName function="false" hidden="true" localSheetId="3" name="_xlnm._FilterDatabase" vbProcedure="false">Checks!$A$1:$L$255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<sst xmlns="http://schemas.openxmlformats.org/spreadsheetml/2006/main" count="1359" uniqueCount="590">
  <si>
    <t xml:space="preserve">Position Price Verification - Valuation Control Workbook</t>
  </si>
  <si>
    <t xml:space="preserve">SYNTHETIC DATA ONLY. No real bank, client or market data is used. Built as a learning / portfolio project.</t>
  </si>
  <si>
    <t xml:space="preserve">Purpose</t>
  </si>
  <si>
    <t xml:space="preserve">Compare desk marks (BookPrice) with independent prices, flag positions outside asset-class tolerance, and report data-quality issues.</t>
  </si>
  <si>
    <t xml:space="preserve">Sheets</t>
  </si>
  <si>
    <t xml:space="preserve">Thresholds - tolerance per asset class and the Report Date (inputs, blue font).</t>
  </si>
  <si>
    <t xml:space="preserve">Raw_Data - deliberately messy input: duplicates, missing independent prices, stale dates, text-case/space issues, one unmapped asset class label.</t>
  </si>
  <si>
    <t xml:space="preserve">Checks - formula-driven control test on every Raw_Data row (works without macros).</t>
  </si>
  <si>
    <t xml:space="preserve">Summary - breach counts, rates and net market-value differences by asset class and by desk, plus data-quality counts.</t>
  </si>
  <si>
    <t xml:space="preserve">VBA (separate file ValuationAutomation.bas) - one-click automation: cleans, tests, builds Clean_Data + Exceptions + Run_Log, exports Clean_Positions.csv.</t>
  </si>
  <si>
    <t xml:space="preserve">Rules</t>
  </si>
  <si>
    <t xml:space="preserve">Variance % = (BookPrice - IndependentPrice) / IndependentPrice.</t>
  </si>
  <si>
    <t xml:space="preserve">Status priority: UNMAPPED ASSET CLASS &gt; NO INDEPENDENT PRICE &gt; BREACH (|Variance %| &gt; tolerance) &gt; OK.</t>
  </si>
  <si>
    <t xml:space="preserve">Market value difference = Quantity x (BookPrice - IndependentPrice), in local currency, price per unit. No FX conversion (assumption).</t>
  </si>
  <si>
    <t xml:space="preserve">Duplicates: first occurrence of a PositionID is kept; later copies are flagged DUP and excluded from Summary.</t>
  </si>
  <si>
    <t xml:space="preserve">Breach rate = Breaches / (OK + Breaches), i.e. positions that could actually be tested.</t>
  </si>
  <si>
    <t xml:space="preserve">Assumptions</t>
  </si>
  <si>
    <t xml:space="preserve">Tolerances (Equity 1.00%, Corporate Bond 0.50%, Government Bond 0.25%, FX Forward 0.30%) are illustrative values chosen by the author, not any bank's policy.</t>
  </si>
  <si>
    <t xml:space="preserve">Report Date 28-Sep-2026 is an input; rows with a different ValuationDate are flagged STALE.</t>
  </si>
  <si>
    <t xml:space="preserve">Colour legend</t>
  </si>
  <si>
    <t xml:space="preserve">Blue font = hard-coded input | Black = formula | Green = link to another sheet | Yellow fill = key input to change.</t>
  </si>
  <si>
    <t xml:space="preserve">Asset Class</t>
  </si>
  <si>
    <t xml:space="preserve">Tolerance (%)</t>
  </si>
  <si>
    <t xml:space="preserve">Report Date</t>
  </si>
  <si>
    <t xml:space="preserve">Equity</t>
  </si>
  <si>
    <t xml:space="preserve">Corporate Bond</t>
  </si>
  <si>
    <t xml:space="preserve">Government Bond</t>
  </si>
  <si>
    <t xml:space="preserve">FX Forward</t>
  </si>
  <si>
    <t xml:space="preserve">Note: tolerances are illustrative author assumptions. Edit blue cells to test other thresholds; Checks and Summary recalculate.</t>
  </si>
  <si>
    <t xml:space="preserve">PositionID</t>
  </si>
  <si>
    <t xml:space="preserve">ValuationDate</t>
  </si>
  <si>
    <t xml:space="preserve">Desk</t>
  </si>
  <si>
    <t xml:space="preserve">AssetClass</t>
  </si>
  <si>
    <t xml:space="preserve">Instrument</t>
  </si>
  <si>
    <t xml:space="preserve">Currency</t>
  </si>
  <si>
    <t xml:space="preserve">Quantity</t>
  </si>
  <si>
    <t xml:space="preserve">BookPrice</t>
  </si>
  <si>
    <t xml:space="preserve">IndependentPrice</t>
  </si>
  <si>
    <t xml:space="preserve">P0001</t>
  </si>
  <si>
    <t xml:space="preserve">Singapore Equities</t>
  </si>
  <si>
    <t xml:space="preserve">EQ-0053</t>
  </si>
  <si>
    <t xml:space="preserve">SGD</t>
  </si>
  <si>
    <t xml:space="preserve">P0002</t>
  </si>
  <si>
    <t xml:space="preserve">Singapore FX</t>
  </si>
  <si>
    <t xml:space="preserve">FX-0004</t>
  </si>
  <si>
    <t xml:space="preserve">P0003</t>
  </si>
  <si>
    <t xml:space="preserve">New York Credit</t>
  </si>
  <si>
    <t xml:space="preserve">CB-0042</t>
  </si>
  <si>
    <t xml:space="preserve">USD</t>
  </si>
  <si>
    <t xml:space="preserve">P0004</t>
  </si>
  <si>
    <t xml:space="preserve">London Credit</t>
  </si>
  <si>
    <t xml:space="preserve">CB-0003</t>
  </si>
  <si>
    <t xml:space="preserve">GBP</t>
  </si>
  <si>
    <t xml:space="preserve">P0005</t>
  </si>
  <si>
    <t xml:space="preserve">Zurich FX</t>
  </si>
  <si>
    <t xml:space="preserve">FX-0026</t>
  </si>
  <si>
    <t xml:space="preserve">CHF</t>
  </si>
  <si>
    <t xml:space="preserve">P0006</t>
  </si>
  <si>
    <t xml:space="preserve">FX-0038</t>
  </si>
  <si>
    <t xml:space="preserve">P0007</t>
  </si>
  <si>
    <t xml:space="preserve">Zurich Equities</t>
  </si>
  <si>
    <t xml:space="preserve">EQ-0050</t>
  </si>
  <si>
    <t xml:space="preserve">P0008</t>
  </si>
  <si>
    <t xml:space="preserve">CB-0017</t>
  </si>
  <si>
    <t xml:space="preserve">P0009</t>
  </si>
  <si>
    <t xml:space="preserve">CB-0065</t>
  </si>
  <si>
    <t xml:space="preserve">P0010</t>
  </si>
  <si>
    <t xml:space="preserve">EQ-0048</t>
  </si>
  <si>
    <t xml:space="preserve">P0011</t>
  </si>
  <si>
    <t xml:space="preserve">FX-0016</t>
  </si>
  <si>
    <t xml:space="preserve">P0012</t>
  </si>
  <si>
    <t xml:space="preserve">CB-0030</t>
  </si>
  <si>
    <t xml:space="preserve">P0013</t>
  </si>
  <si>
    <t xml:space="preserve">CB-0010</t>
  </si>
  <si>
    <t xml:space="preserve">P0014</t>
  </si>
  <si>
    <t xml:space="preserve">EQ-0022</t>
  </si>
  <si>
    <t xml:space="preserve">P0015</t>
  </si>
  <si>
    <t xml:space="preserve">New York Rates</t>
  </si>
  <si>
    <t xml:space="preserve">GB-0054</t>
  </si>
  <si>
    <t xml:space="preserve">P0016</t>
  </si>
  <si>
    <t xml:space="preserve">CB-0009</t>
  </si>
  <si>
    <t xml:space="preserve">P0017</t>
  </si>
  <si>
    <t xml:space="preserve">CB-0057</t>
  </si>
  <si>
    <t xml:space="preserve">P0018</t>
  </si>
  <si>
    <t xml:space="preserve">EQ-0064</t>
  </si>
  <si>
    <t xml:space="preserve">P0019</t>
  </si>
  <si>
    <t xml:space="preserve">GB-0018</t>
  </si>
  <si>
    <t xml:space="preserve">P0020</t>
  </si>
  <si>
    <t xml:space="preserve">EQ-0051</t>
  </si>
  <si>
    <t xml:space="preserve">P0021</t>
  </si>
  <si>
    <t xml:space="preserve">CB-0008</t>
  </si>
  <si>
    <t xml:space="preserve">P0022</t>
  </si>
  <si>
    <t xml:space="preserve">CB-0060</t>
  </si>
  <si>
    <t xml:space="preserve">P0023</t>
  </si>
  <si>
    <t xml:space="preserve">CB-0054</t>
  </si>
  <si>
    <t xml:space="preserve">P0024</t>
  </si>
  <si>
    <t xml:space="preserve">London Rates</t>
  </si>
  <si>
    <t xml:space="preserve">GB-0060</t>
  </si>
  <si>
    <t xml:space="preserve">P0025</t>
  </si>
  <si>
    <t xml:space="preserve">CB-0051</t>
  </si>
  <si>
    <t xml:space="preserve">P0026</t>
  </si>
  <si>
    <t xml:space="preserve">GB-0011</t>
  </si>
  <si>
    <t xml:space="preserve">P0027</t>
  </si>
  <si>
    <t xml:space="preserve">CB-0048</t>
  </si>
  <si>
    <t xml:space="preserve">P0028</t>
  </si>
  <si>
    <t xml:space="preserve">Gov Bond</t>
  </si>
  <si>
    <t xml:space="preserve">GB-0035</t>
  </si>
  <si>
    <t xml:space="preserve">P0029</t>
  </si>
  <si>
    <t xml:space="preserve">CB-0036</t>
  </si>
  <si>
    <t xml:space="preserve">P0030</t>
  </si>
  <si>
    <t xml:space="preserve">equity </t>
  </si>
  <si>
    <t xml:space="preserve">EQ-0011</t>
  </si>
  <si>
    <t xml:space="preserve">P0031</t>
  </si>
  <si>
    <t xml:space="preserve">GB-0010</t>
  </si>
  <si>
    <t xml:space="preserve">P0032</t>
  </si>
  <si>
    <t xml:space="preserve">CB-0002</t>
  </si>
  <si>
    <t xml:space="preserve">P0033</t>
  </si>
  <si>
    <t xml:space="preserve">EQ-0074</t>
  </si>
  <si>
    <t xml:space="preserve">P0034</t>
  </si>
  <si>
    <t xml:space="preserve">GB-0027</t>
  </si>
  <si>
    <t xml:space="preserve">P0035</t>
  </si>
  <si>
    <t xml:space="preserve">EQ-0075</t>
  </si>
  <si>
    <t xml:space="preserve">P0036</t>
  </si>
  <si>
    <t xml:space="preserve">CB-0026</t>
  </si>
  <si>
    <t xml:space="preserve">P0037</t>
  </si>
  <si>
    <t xml:space="preserve">FX-0040</t>
  </si>
  <si>
    <t xml:space="preserve">P0038</t>
  </si>
  <si>
    <t xml:space="preserve">EQ-0063</t>
  </si>
  <si>
    <t xml:space="preserve">P0039</t>
  </si>
  <si>
    <t xml:space="preserve">CB-0029</t>
  </si>
  <si>
    <t xml:space="preserve">P0040</t>
  </si>
  <si>
    <t xml:space="preserve">CB-0031</t>
  </si>
  <si>
    <t xml:space="preserve">P0041</t>
  </si>
  <si>
    <t xml:space="preserve">CB-0023</t>
  </si>
  <si>
    <t xml:space="preserve">P0042</t>
  </si>
  <si>
    <t xml:space="preserve">FX-0008</t>
  </si>
  <si>
    <t xml:space="preserve">P0043</t>
  </si>
  <si>
    <t xml:space="preserve">GB-0030</t>
  </si>
  <si>
    <t xml:space="preserve">P0044</t>
  </si>
  <si>
    <t xml:space="preserve">GB-0025</t>
  </si>
  <si>
    <t xml:space="preserve">P0045</t>
  </si>
  <si>
    <t xml:space="preserve">CB-0050</t>
  </si>
  <si>
    <t xml:space="preserve">P0046</t>
  </si>
  <si>
    <t xml:space="preserve">CB-0024</t>
  </si>
  <si>
    <t xml:space="preserve">P0047</t>
  </si>
  <si>
    <t xml:space="preserve">EQ-0038</t>
  </si>
  <si>
    <t xml:space="preserve">P0048</t>
  </si>
  <si>
    <t xml:space="preserve">EQ-0041</t>
  </si>
  <si>
    <t xml:space="preserve">P0049</t>
  </si>
  <si>
    <t xml:space="preserve">GB-0003</t>
  </si>
  <si>
    <t xml:space="preserve">P0050</t>
  </si>
  <si>
    <t xml:space="preserve">EQ-0018</t>
  </si>
  <si>
    <t xml:space="preserve">P0051</t>
  </si>
  <si>
    <t xml:space="preserve">CB-0001</t>
  </si>
  <si>
    <t xml:space="preserve">P0052</t>
  </si>
  <si>
    <t xml:space="preserve">GB-0028</t>
  </si>
  <si>
    <t xml:space="preserve">P0053</t>
  </si>
  <si>
    <t xml:space="preserve">GB-0022</t>
  </si>
  <si>
    <t xml:space="preserve">P0054</t>
  </si>
  <si>
    <t xml:space="preserve">EQ-0069</t>
  </si>
  <si>
    <t xml:space="preserve">P0055</t>
  </si>
  <si>
    <t xml:space="preserve">EQ-0021</t>
  </si>
  <si>
    <t xml:space="preserve">P0056</t>
  </si>
  <si>
    <t xml:space="preserve">CB-0052</t>
  </si>
  <si>
    <t xml:space="preserve">P0057</t>
  </si>
  <si>
    <t xml:space="preserve">EQ-0005</t>
  </si>
  <si>
    <t xml:space="preserve">P0058</t>
  </si>
  <si>
    <t xml:space="preserve">CB-0068</t>
  </si>
  <si>
    <t xml:space="preserve">P0059</t>
  </si>
  <si>
    <t xml:space="preserve">CB-0061</t>
  </si>
  <si>
    <t xml:space="preserve">P0060</t>
  </si>
  <si>
    <t xml:space="preserve">CB-0045</t>
  </si>
  <si>
    <t xml:space="preserve">P0061</t>
  </si>
  <si>
    <t xml:space="preserve">CB-0006</t>
  </si>
  <si>
    <t xml:space="preserve">P0062</t>
  </si>
  <si>
    <t xml:space="preserve">EQ-0044</t>
  </si>
  <si>
    <t xml:space="preserve">P0063</t>
  </si>
  <si>
    <t xml:space="preserve">GB-0055</t>
  </si>
  <si>
    <t xml:space="preserve">P0064</t>
  </si>
  <si>
    <t xml:space="preserve">FX-0025</t>
  </si>
  <si>
    <t xml:space="preserve">P0065</t>
  </si>
  <si>
    <t xml:space="preserve">EQ-0062</t>
  </si>
  <si>
    <t xml:space="preserve">P0066</t>
  </si>
  <si>
    <t xml:space="preserve">EQ-0008</t>
  </si>
  <si>
    <t xml:space="preserve">P0067</t>
  </si>
  <si>
    <t xml:space="preserve">FX-0034</t>
  </si>
  <si>
    <t xml:space="preserve">P0068</t>
  </si>
  <si>
    <t xml:space="preserve">EQ-0059</t>
  </si>
  <si>
    <t xml:space="preserve">P0069</t>
  </si>
  <si>
    <t xml:space="preserve">EQ-0039</t>
  </si>
  <si>
    <t xml:space="preserve">P0070</t>
  </si>
  <si>
    <t xml:space="preserve">EQ-0067</t>
  </si>
  <si>
    <t xml:space="preserve">P0071</t>
  </si>
  <si>
    <t xml:space="preserve">FX-0018</t>
  </si>
  <si>
    <t xml:space="preserve">P0072</t>
  </si>
  <si>
    <t xml:space="preserve">Equity  </t>
  </si>
  <si>
    <t xml:space="preserve">EQ-0029</t>
  </si>
  <si>
    <t xml:space="preserve">P0073</t>
  </si>
  <si>
    <t xml:space="preserve">EQ-0065</t>
  </si>
  <si>
    <t xml:space="preserve">P0074</t>
  </si>
  <si>
    <t xml:space="preserve">EQ-0079</t>
  </si>
  <si>
    <t xml:space="preserve">P0075</t>
  </si>
  <si>
    <t xml:space="preserve">EQ-0014</t>
  </si>
  <si>
    <t xml:space="preserve">P0076</t>
  </si>
  <si>
    <t xml:space="preserve">CB-0011</t>
  </si>
  <si>
    <t xml:space="preserve">P0077</t>
  </si>
  <si>
    <t xml:space="preserve">FX-0014</t>
  </si>
  <si>
    <t xml:space="preserve">P0078</t>
  </si>
  <si>
    <t xml:space="preserve">EQ-0047</t>
  </si>
  <si>
    <t xml:space="preserve">P0079</t>
  </si>
  <si>
    <t xml:space="preserve">FX-0001</t>
  </si>
  <si>
    <t xml:space="preserve">P0080</t>
  </si>
  <si>
    <t xml:space="preserve">CB-0062</t>
  </si>
  <si>
    <t xml:space="preserve">P0081</t>
  </si>
  <si>
    <t xml:space="preserve">FX-0005</t>
  </si>
  <si>
    <t xml:space="preserve">P0082</t>
  </si>
  <si>
    <t xml:space="preserve">CB-0038</t>
  </si>
  <si>
    <t xml:space="preserve">P0083</t>
  </si>
  <si>
    <t xml:space="preserve">FX-0013</t>
  </si>
  <si>
    <t xml:space="preserve">P0084</t>
  </si>
  <si>
    <t xml:space="preserve">EQ-0054</t>
  </si>
  <si>
    <t xml:space="preserve">P0085</t>
  </si>
  <si>
    <t xml:space="preserve">GB-0006</t>
  </si>
  <si>
    <t xml:space="preserve">P0086</t>
  </si>
  <si>
    <t xml:space="preserve">GB-0033</t>
  </si>
  <si>
    <t xml:space="preserve">P0087</t>
  </si>
  <si>
    <t xml:space="preserve">FX-0024</t>
  </si>
  <si>
    <t xml:space="preserve">P0088</t>
  </si>
  <si>
    <t xml:space="preserve">CB-0019</t>
  </si>
  <si>
    <t xml:space="preserve">P0089</t>
  </si>
  <si>
    <t xml:space="preserve">EQ-0003</t>
  </si>
  <si>
    <t xml:space="preserve">P0090</t>
  </si>
  <si>
    <t xml:space="preserve">EQUITY</t>
  </si>
  <si>
    <t xml:space="preserve">EQ-0042</t>
  </si>
  <si>
    <t xml:space="preserve">P0091</t>
  </si>
  <si>
    <t xml:space="preserve">CB-0035</t>
  </si>
  <si>
    <t xml:space="preserve">P0092</t>
  </si>
  <si>
    <t xml:space="preserve">EQ-0031</t>
  </si>
  <si>
    <t xml:space="preserve">P0093</t>
  </si>
  <si>
    <t xml:space="preserve">EQ-0046</t>
  </si>
  <si>
    <t xml:space="preserve">P0094</t>
  </si>
  <si>
    <t xml:space="preserve">EQ-0002</t>
  </si>
  <si>
    <t xml:space="preserve">P0095</t>
  </si>
  <si>
    <t xml:space="preserve">FX FORWARD</t>
  </si>
  <si>
    <t xml:space="preserve">FX-0019</t>
  </si>
  <si>
    <t xml:space="preserve">P0096</t>
  </si>
  <si>
    <t xml:space="preserve">GB-0051</t>
  </si>
  <si>
    <t xml:space="preserve">P0097</t>
  </si>
  <si>
    <t xml:space="preserve">CB-0005</t>
  </si>
  <si>
    <t xml:space="preserve">P0098</t>
  </si>
  <si>
    <t xml:space="preserve">EQ-0015</t>
  </si>
  <si>
    <t xml:space="preserve">P0099</t>
  </si>
  <si>
    <t xml:space="preserve">EQ-0023</t>
  </si>
  <si>
    <t xml:space="preserve">P0100</t>
  </si>
  <si>
    <t xml:space="preserve">EQ-0033</t>
  </si>
  <si>
    <t xml:space="preserve">P0101</t>
  </si>
  <si>
    <t xml:space="preserve">FX-0017</t>
  </si>
  <si>
    <t xml:space="preserve">P0102</t>
  </si>
  <si>
    <t xml:space="preserve">FX-0012</t>
  </si>
  <si>
    <t xml:space="preserve">P0103</t>
  </si>
  <si>
    <t xml:space="preserve">GB-0005</t>
  </si>
  <si>
    <t xml:space="preserve">P0104</t>
  </si>
  <si>
    <t xml:space="preserve">GB-0019</t>
  </si>
  <si>
    <t xml:space="preserve">P0105</t>
  </si>
  <si>
    <t xml:space="preserve">EQ-0001</t>
  </si>
  <si>
    <t xml:space="preserve">P0106</t>
  </si>
  <si>
    <t xml:space="preserve">EQ-0077</t>
  </si>
  <si>
    <t xml:space="preserve">P0107</t>
  </si>
  <si>
    <t xml:space="preserve">CB-0043</t>
  </si>
  <si>
    <t xml:space="preserve">P0108</t>
  </si>
  <si>
    <t xml:space="preserve">EQ-0019</t>
  </si>
  <si>
    <t xml:space="preserve">P0109</t>
  </si>
  <si>
    <t xml:space="preserve">GB-0032</t>
  </si>
  <si>
    <t xml:space="preserve">P0110</t>
  </si>
  <si>
    <t xml:space="preserve">Government Bond  </t>
  </si>
  <si>
    <t xml:space="preserve">GB-0041</t>
  </si>
  <si>
    <t xml:space="preserve">P0111</t>
  </si>
  <si>
    <t xml:space="preserve">GB-0039</t>
  </si>
  <si>
    <t xml:space="preserve">P0112</t>
  </si>
  <si>
    <t xml:space="preserve">CB-0032</t>
  </si>
  <si>
    <t xml:space="preserve">P0113</t>
  </si>
  <si>
    <t xml:space="preserve">FX-0036</t>
  </si>
  <si>
    <t xml:space="preserve">P0114</t>
  </si>
  <si>
    <t xml:space="preserve">GB-0037</t>
  </si>
  <si>
    <t xml:space="preserve">P0115</t>
  </si>
  <si>
    <t xml:space="preserve">FX-0010</t>
  </si>
  <si>
    <t xml:space="preserve">P0116</t>
  </si>
  <si>
    <t xml:space="preserve">GB-0034</t>
  </si>
  <si>
    <t xml:space="preserve">P0117</t>
  </si>
  <si>
    <t xml:space="preserve">CB-0055</t>
  </si>
  <si>
    <t xml:space="preserve">P0118</t>
  </si>
  <si>
    <t xml:space="preserve">GB-0040</t>
  </si>
  <si>
    <t xml:space="preserve">P0119</t>
  </si>
  <si>
    <t xml:space="preserve">GB-0002</t>
  </si>
  <si>
    <t xml:space="preserve">P0120</t>
  </si>
  <si>
    <t xml:space="preserve">CB-0067</t>
  </si>
  <si>
    <t xml:space="preserve">P0121</t>
  </si>
  <si>
    <t xml:space="preserve">EQ-0027</t>
  </si>
  <si>
    <t xml:space="preserve">P0122</t>
  </si>
  <si>
    <t xml:space="preserve">EQ-0073</t>
  </si>
  <si>
    <t xml:space="preserve">P0123</t>
  </si>
  <si>
    <t xml:space="preserve">GB-0015</t>
  </si>
  <si>
    <t xml:space="preserve">P0124</t>
  </si>
  <si>
    <t xml:space="preserve">GB-0026</t>
  </si>
  <si>
    <t xml:space="preserve">P0125</t>
  </si>
  <si>
    <t xml:space="preserve">CB-0053</t>
  </si>
  <si>
    <t xml:space="preserve">P0126</t>
  </si>
  <si>
    <t xml:space="preserve">FX-0021</t>
  </si>
  <si>
    <t xml:space="preserve">P0127</t>
  </si>
  <si>
    <t xml:space="preserve">CB-0021</t>
  </si>
  <si>
    <t xml:space="preserve">P0128</t>
  </si>
  <si>
    <t xml:space="preserve">EQ-0013</t>
  </si>
  <si>
    <t xml:space="preserve">P0129</t>
  </si>
  <si>
    <t xml:space="preserve">EQ-0006</t>
  </si>
  <si>
    <t xml:space="preserve">P0130</t>
  </si>
  <si>
    <t xml:space="preserve">EQ-0055</t>
  </si>
  <si>
    <t xml:space="preserve">P0131</t>
  </si>
  <si>
    <t xml:space="preserve">GB-0053</t>
  </si>
  <si>
    <t xml:space="preserve">P0132</t>
  </si>
  <si>
    <t xml:space="preserve">GB-0008</t>
  </si>
  <si>
    <t xml:space="preserve">P0133</t>
  </si>
  <si>
    <t xml:space="preserve">GB-0048</t>
  </si>
  <si>
    <t xml:space="preserve">P0134</t>
  </si>
  <si>
    <t xml:space="preserve">EQ-0049</t>
  </si>
  <si>
    <t xml:space="preserve">P0135</t>
  </si>
  <si>
    <t xml:space="preserve">EQ-0071</t>
  </si>
  <si>
    <t xml:space="preserve">P0136</t>
  </si>
  <si>
    <t xml:space="preserve">FX-0031</t>
  </si>
  <si>
    <t xml:space="preserve">P0137</t>
  </si>
  <si>
    <t xml:space="preserve">EQ-0016</t>
  </si>
  <si>
    <t xml:space="preserve">P0138</t>
  </si>
  <si>
    <t xml:space="preserve">CB-0012</t>
  </si>
  <si>
    <t xml:space="preserve">P0139</t>
  </si>
  <si>
    <t xml:space="preserve">CB-0066</t>
  </si>
  <si>
    <t xml:space="preserve">P0140</t>
  </si>
  <si>
    <t xml:space="preserve">GB-0004</t>
  </si>
  <si>
    <t xml:space="preserve">P0141</t>
  </si>
  <si>
    <t xml:space="preserve">CB-0013</t>
  </si>
  <si>
    <t xml:space="preserve">P0142</t>
  </si>
  <si>
    <t xml:space="preserve">GB-0012</t>
  </si>
  <si>
    <t xml:space="preserve">P0143</t>
  </si>
  <si>
    <t xml:space="preserve"> Government Bond</t>
  </si>
  <si>
    <t xml:space="preserve">GB-0031</t>
  </si>
  <si>
    <t xml:space="preserve">P0144</t>
  </si>
  <si>
    <t xml:space="preserve">corporate bond </t>
  </si>
  <si>
    <t xml:space="preserve">CB-0034</t>
  </si>
  <si>
    <t xml:space="preserve">P0145</t>
  </si>
  <si>
    <t xml:space="preserve">EQ-0056</t>
  </si>
  <si>
    <t xml:space="preserve">P0146</t>
  </si>
  <si>
    <t xml:space="preserve">GB-0029</t>
  </si>
  <si>
    <t xml:space="preserve">P0147</t>
  </si>
  <si>
    <t xml:space="preserve">FX-0037</t>
  </si>
  <si>
    <t xml:space="preserve">P0148</t>
  </si>
  <si>
    <t xml:space="preserve">EQ-0072</t>
  </si>
  <si>
    <t xml:space="preserve">P0149</t>
  </si>
  <si>
    <t xml:space="preserve">GB-0021</t>
  </si>
  <si>
    <t xml:space="preserve">P0150</t>
  </si>
  <si>
    <t xml:space="preserve">CB-0046</t>
  </si>
  <si>
    <t xml:space="preserve">P0151</t>
  </si>
  <si>
    <t xml:space="preserve">EQ-0026</t>
  </si>
  <si>
    <t xml:space="preserve">P0152</t>
  </si>
  <si>
    <t xml:space="preserve">FX-0027</t>
  </si>
  <si>
    <t xml:space="preserve">P0153</t>
  </si>
  <si>
    <t xml:space="preserve">EQ-0040</t>
  </si>
  <si>
    <t xml:space="preserve">P0154</t>
  </si>
  <si>
    <t xml:space="preserve">GB-0001</t>
  </si>
  <si>
    <t xml:space="preserve">P0155</t>
  </si>
  <si>
    <t xml:space="preserve">CB-0028</t>
  </si>
  <si>
    <t xml:space="preserve">P0156</t>
  </si>
  <si>
    <t xml:space="preserve">FX-0022</t>
  </si>
  <si>
    <t xml:space="preserve">P0157</t>
  </si>
  <si>
    <t xml:space="preserve">GB-0046</t>
  </si>
  <si>
    <t xml:space="preserve">P0158</t>
  </si>
  <si>
    <t xml:space="preserve">government bond </t>
  </si>
  <si>
    <t xml:space="preserve">GB-0047</t>
  </si>
  <si>
    <t xml:space="preserve">P0159</t>
  </si>
  <si>
    <t xml:space="preserve">CB-0020</t>
  </si>
  <si>
    <t xml:space="preserve">P0160</t>
  </si>
  <si>
    <t xml:space="preserve">EQ-0035</t>
  </si>
  <si>
    <t xml:space="preserve">P0161</t>
  </si>
  <si>
    <t xml:space="preserve">GB-0049</t>
  </si>
  <si>
    <t xml:space="preserve">P0162</t>
  </si>
  <si>
    <t xml:space="preserve">EQ-0061</t>
  </si>
  <si>
    <t xml:space="preserve">P0163</t>
  </si>
  <si>
    <t xml:space="preserve">EQ-0025</t>
  </si>
  <si>
    <t xml:space="preserve">P0164</t>
  </si>
  <si>
    <t xml:space="preserve">GB-0020</t>
  </si>
  <si>
    <t xml:space="preserve">P0165</t>
  </si>
  <si>
    <t xml:space="preserve">CB-0047</t>
  </si>
  <si>
    <t xml:space="preserve">P0166</t>
  </si>
  <si>
    <t xml:space="preserve">GB-0059</t>
  </si>
  <si>
    <t xml:space="preserve">P0167</t>
  </si>
  <si>
    <t xml:space="preserve">EQ-0010</t>
  </si>
  <si>
    <t xml:space="preserve">P0168</t>
  </si>
  <si>
    <t xml:space="preserve">EQ-0012</t>
  </si>
  <si>
    <t xml:space="preserve">P0169</t>
  </si>
  <si>
    <t xml:space="preserve">EQ-0036</t>
  </si>
  <si>
    <t xml:space="preserve">P0170</t>
  </si>
  <si>
    <t xml:space="preserve">FX-0006</t>
  </si>
  <si>
    <t xml:space="preserve">P0171</t>
  </si>
  <si>
    <t xml:space="preserve">CB-0025</t>
  </si>
  <si>
    <t xml:space="preserve">P0172</t>
  </si>
  <si>
    <t xml:space="preserve">GB-0017</t>
  </si>
  <si>
    <t xml:space="preserve">P0173</t>
  </si>
  <si>
    <t xml:space="preserve">EQ-0078</t>
  </si>
  <si>
    <t xml:space="preserve">P0174</t>
  </si>
  <si>
    <t xml:space="preserve">CB-0039</t>
  </si>
  <si>
    <t xml:space="preserve">P0175</t>
  </si>
  <si>
    <t xml:space="preserve">GB-0013</t>
  </si>
  <si>
    <t xml:space="preserve">P0176</t>
  </si>
  <si>
    <t xml:space="preserve">EQ-0017</t>
  </si>
  <si>
    <t xml:space="preserve">P0177</t>
  </si>
  <si>
    <t xml:space="preserve">GB-0016</t>
  </si>
  <si>
    <t xml:space="preserve">P0178</t>
  </si>
  <si>
    <t xml:space="preserve">EQ-0057</t>
  </si>
  <si>
    <t xml:space="preserve">P0179</t>
  </si>
  <si>
    <t xml:space="preserve">GB-0007</t>
  </si>
  <si>
    <t xml:space="preserve">P0180</t>
  </si>
  <si>
    <t xml:space="preserve">FX-0029</t>
  </si>
  <si>
    <t xml:space="preserve">P0181</t>
  </si>
  <si>
    <t xml:space="preserve">CB-0064</t>
  </si>
  <si>
    <t xml:space="preserve">P0182</t>
  </si>
  <si>
    <t xml:space="preserve">GB-0009</t>
  </si>
  <si>
    <t xml:space="preserve">P0183</t>
  </si>
  <si>
    <t xml:space="preserve">EQ-0007</t>
  </si>
  <si>
    <t xml:space="preserve">P0184</t>
  </si>
  <si>
    <t xml:space="preserve">CB-0041</t>
  </si>
  <si>
    <t xml:space="preserve">P0185</t>
  </si>
  <si>
    <t xml:space="preserve">EQ-0060</t>
  </si>
  <si>
    <t xml:space="preserve">P0186</t>
  </si>
  <si>
    <t xml:space="preserve">GB-0043</t>
  </si>
  <si>
    <t xml:space="preserve">P0187</t>
  </si>
  <si>
    <t xml:space="preserve">EQ-0028</t>
  </si>
  <si>
    <t xml:space="preserve">P0188</t>
  </si>
  <si>
    <t xml:space="preserve">CB-0016</t>
  </si>
  <si>
    <t xml:space="preserve">P0189</t>
  </si>
  <si>
    <t xml:space="preserve">GB-0014</t>
  </si>
  <si>
    <t xml:space="preserve">P0190</t>
  </si>
  <si>
    <t xml:space="preserve">CB-0018</t>
  </si>
  <si>
    <t xml:space="preserve">P0191</t>
  </si>
  <si>
    <t xml:space="preserve">CB-0070</t>
  </si>
  <si>
    <t xml:space="preserve">P0192</t>
  </si>
  <si>
    <t xml:space="preserve">GB-0050</t>
  </si>
  <si>
    <t xml:space="preserve">P0193</t>
  </si>
  <si>
    <t xml:space="preserve">GB-0045</t>
  </si>
  <si>
    <t xml:space="preserve">P0194</t>
  </si>
  <si>
    <t xml:space="preserve">FX-0009</t>
  </si>
  <si>
    <t xml:space="preserve">P0195</t>
  </si>
  <si>
    <t xml:space="preserve">GB-0058</t>
  </si>
  <si>
    <t xml:space="preserve">P0196</t>
  </si>
  <si>
    <t xml:space="preserve">CB-0015</t>
  </si>
  <si>
    <t xml:space="preserve">P0197</t>
  </si>
  <si>
    <t xml:space="preserve">CORPORATE BOND</t>
  </si>
  <si>
    <t xml:space="preserve">CB-0037</t>
  </si>
  <si>
    <t xml:space="preserve">P0198</t>
  </si>
  <si>
    <t xml:space="preserve">EQ-0032</t>
  </si>
  <si>
    <t xml:space="preserve">P0199</t>
  </si>
  <si>
    <t xml:space="preserve">CB-0058</t>
  </si>
  <si>
    <t xml:space="preserve">P0200</t>
  </si>
  <si>
    <t xml:space="preserve">EQ-0068</t>
  </si>
  <si>
    <t xml:space="preserve">P0201</t>
  </si>
  <si>
    <t xml:space="preserve">EQ-0004</t>
  </si>
  <si>
    <t xml:space="preserve">P0202</t>
  </si>
  <si>
    <t xml:space="preserve">FX-0011</t>
  </si>
  <si>
    <t xml:space="preserve">P0203</t>
  </si>
  <si>
    <t xml:space="preserve">FX-0032</t>
  </si>
  <si>
    <t xml:space="preserve">P0204</t>
  </si>
  <si>
    <t xml:space="preserve">FX-0020</t>
  </si>
  <si>
    <t xml:space="preserve">P0205</t>
  </si>
  <si>
    <t xml:space="preserve">CB-0063</t>
  </si>
  <si>
    <t xml:space="preserve">P0206</t>
  </si>
  <si>
    <t xml:space="preserve">FX-0007</t>
  </si>
  <si>
    <t xml:space="preserve">P0207</t>
  </si>
  <si>
    <t xml:space="preserve">CB-0022</t>
  </si>
  <si>
    <t xml:space="preserve">P0208</t>
  </si>
  <si>
    <t xml:space="preserve">GB-0023</t>
  </si>
  <si>
    <t xml:space="preserve">P0209</t>
  </si>
  <si>
    <t xml:space="preserve">GB-0036</t>
  </si>
  <si>
    <t xml:space="preserve">P0210</t>
  </si>
  <si>
    <t xml:space="preserve">GB-0024</t>
  </si>
  <si>
    <t xml:space="preserve">P0211</t>
  </si>
  <si>
    <t xml:space="preserve">EQ-0058</t>
  </si>
  <si>
    <t xml:space="preserve">P0212</t>
  </si>
  <si>
    <t xml:space="preserve">GB-0044</t>
  </si>
  <si>
    <t xml:space="preserve">P0213</t>
  </si>
  <si>
    <t xml:space="preserve">EQ-0037</t>
  </si>
  <si>
    <t xml:space="preserve">P0214</t>
  </si>
  <si>
    <t xml:space="preserve">EQ-0020</t>
  </si>
  <si>
    <t xml:space="preserve">P0215</t>
  </si>
  <si>
    <t xml:space="preserve">CB-0040</t>
  </si>
  <si>
    <t xml:space="preserve">P0216</t>
  </si>
  <si>
    <t xml:space="preserve">EQ-0030</t>
  </si>
  <si>
    <t xml:space="preserve">P0217</t>
  </si>
  <si>
    <t xml:space="preserve">GB-0056</t>
  </si>
  <si>
    <t xml:space="preserve">P0218</t>
  </si>
  <si>
    <t xml:space="preserve">CB-0007</t>
  </si>
  <si>
    <t xml:space="preserve">P0219</t>
  </si>
  <si>
    <t xml:space="preserve">FX-0028</t>
  </si>
  <si>
    <t xml:space="preserve">P0220</t>
  </si>
  <si>
    <t xml:space="preserve">FX-0030</t>
  </si>
  <si>
    <t xml:space="preserve">P0221</t>
  </si>
  <si>
    <t xml:space="preserve">GB-0057</t>
  </si>
  <si>
    <t xml:space="preserve">P0222</t>
  </si>
  <si>
    <t xml:space="preserve">CB-0044</t>
  </si>
  <si>
    <t xml:space="preserve">P0223</t>
  </si>
  <si>
    <t xml:space="preserve">FX-0002</t>
  </si>
  <si>
    <t xml:space="preserve">P0224</t>
  </si>
  <si>
    <t xml:space="preserve">EQ-0066</t>
  </si>
  <si>
    <t xml:space="preserve">P0225</t>
  </si>
  <si>
    <t xml:space="preserve">EQ-0043</t>
  </si>
  <si>
    <t xml:space="preserve">P0226</t>
  </si>
  <si>
    <t xml:space="preserve">FX-0003</t>
  </si>
  <si>
    <t xml:space="preserve">P0227</t>
  </si>
  <si>
    <t xml:space="preserve">EQ-0070</t>
  </si>
  <si>
    <t xml:space="preserve">P0228</t>
  </si>
  <si>
    <t xml:space="preserve"> Corporate Bond</t>
  </si>
  <si>
    <t xml:space="preserve">CB-0049</t>
  </si>
  <si>
    <t xml:space="preserve">P0229</t>
  </si>
  <si>
    <t xml:space="preserve">CB-0056</t>
  </si>
  <si>
    <t xml:space="preserve">P0230</t>
  </si>
  <si>
    <t xml:space="preserve">FX-0035</t>
  </si>
  <si>
    <t xml:space="preserve">P0231</t>
  </si>
  <si>
    <t xml:space="preserve">FX-0015</t>
  </si>
  <si>
    <t xml:space="preserve">P0232</t>
  </si>
  <si>
    <t xml:space="preserve">CB-0059</t>
  </si>
  <si>
    <t xml:space="preserve">P0233</t>
  </si>
  <si>
    <t xml:space="preserve">FX-0039</t>
  </si>
  <si>
    <t xml:space="preserve">P0234</t>
  </si>
  <si>
    <t xml:space="preserve">FX-0033</t>
  </si>
  <si>
    <t xml:space="preserve">P0235</t>
  </si>
  <si>
    <t xml:space="preserve">EQ-0052</t>
  </si>
  <si>
    <t xml:space="preserve">P0236</t>
  </si>
  <si>
    <t xml:space="preserve">EQ-0045</t>
  </si>
  <si>
    <t xml:space="preserve">P0237</t>
  </si>
  <si>
    <t xml:space="preserve">CB-0027</t>
  </si>
  <si>
    <t xml:space="preserve">P0238</t>
  </si>
  <si>
    <t xml:space="preserve">GB-0042</t>
  </si>
  <si>
    <t xml:space="preserve">P0239</t>
  </si>
  <si>
    <t xml:space="preserve">CB-0004</t>
  </si>
  <si>
    <t xml:space="preserve">P0240</t>
  </si>
  <si>
    <t xml:space="preserve">EQ-0076</t>
  </si>
  <si>
    <t xml:space="preserve">P0241</t>
  </si>
  <si>
    <t xml:space="preserve">FX-0023</t>
  </si>
  <si>
    <t xml:space="preserve">P0242</t>
  </si>
  <si>
    <t xml:space="preserve">EQ-0024</t>
  </si>
  <si>
    <t xml:space="preserve">P0243</t>
  </si>
  <si>
    <t xml:space="preserve">EQ-0034</t>
  </si>
  <si>
    <t xml:space="preserve">P0244</t>
  </si>
  <si>
    <t xml:space="preserve">GB-0038</t>
  </si>
  <si>
    <t xml:space="preserve">P0245</t>
  </si>
  <si>
    <t xml:space="preserve">CB-0014</t>
  </si>
  <si>
    <t xml:space="preserve">P0246</t>
  </si>
  <si>
    <t xml:space="preserve">CB-0069</t>
  </si>
  <si>
    <t xml:space="preserve">P0247</t>
  </si>
  <si>
    <t xml:space="preserve">EQ-0009</t>
  </si>
  <si>
    <t xml:space="preserve">P0248</t>
  </si>
  <si>
    <t xml:space="preserve">CB-0033</t>
  </si>
  <si>
    <t xml:space="preserve">P0249</t>
  </si>
  <si>
    <t xml:space="preserve">GB-0052</t>
  </si>
  <si>
    <t xml:space="preserve">P0250</t>
  </si>
  <si>
    <t xml:space="preserve">EQ-0080</t>
  </si>
  <si>
    <t xml:space="preserve">Asset Class (clean)</t>
  </si>
  <si>
    <t xml:space="preserve">Book Price</t>
  </si>
  <si>
    <t xml:space="preserve">Independent Price</t>
  </si>
  <si>
    <t xml:space="preserve">Variance %</t>
  </si>
  <si>
    <t xml:space="preserve">Tolerance %</t>
  </si>
  <si>
    <t xml:space="preserve">MV Diff (local ccy)</t>
  </si>
  <si>
    <t xml:space="preserve">Status</t>
  </si>
  <si>
    <t xml:space="preserve">Duplicate?</t>
  </si>
  <si>
    <t xml:space="preserve">Valuation Date Flag</t>
  </si>
  <si>
    <t xml:space="preserve">Valuation Control Summary</t>
  </si>
  <si>
    <t xml:space="preserve">Results by Asset Class</t>
  </si>
  <si>
    <t xml:space="preserve">Positions Tested</t>
  </si>
  <si>
    <t xml:space="preserve">OK</t>
  </si>
  <si>
    <t xml:space="preserve">Breaches</t>
  </si>
  <si>
    <t xml:space="preserve">No Indep. Price</t>
  </si>
  <si>
    <t xml:space="preserve">Breach Rate</t>
  </si>
  <si>
    <t xml:space="preserve">Net MV Diff (all tested)</t>
  </si>
  <si>
    <t xml:space="preserve">Net MV Diff (breaches)</t>
  </si>
  <si>
    <t xml:space="preserve">Total</t>
  </si>
  <si>
    <t xml:space="preserve">Results by Desk</t>
  </si>
  <si>
    <t xml:space="preserve">Data Quality</t>
  </si>
  <si>
    <t xml:space="preserve">Check</t>
  </si>
  <si>
    <t xml:space="preserve">Count</t>
  </si>
  <si>
    <t xml:space="preserve">Raw rows loaded</t>
  </si>
  <si>
    <t xml:space="preserve">Duplicate rows removed</t>
  </si>
  <si>
    <t xml:space="preserve">Unique positions</t>
  </si>
  <si>
    <t xml:space="preserve">Missing independent price</t>
  </si>
  <si>
    <t xml:space="preserve">Unmapped asset class</t>
  </si>
  <si>
    <t xml:space="preserve">Stale valuation date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</si>
</sst>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.00%"/>
    <numFmt numFmtId="167" formatCode="#,##0"/>
    <numFmt numFmtId="168" formatCode="#,##0.00000"/>
    <numFmt numFmtId="169" formatCode="0.000%"/>
    <numFmt numFmtId="170" formatCode="#,##0.00;\(#,##0.00\);\-"/>
    <numFmt numFmtId="171" formatCode="0.0%"/>
    <numFmt numFmtId="172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23.8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23.8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19</v>
      </c>
    </row>
    <row r="26" customFormat="false" ht="15" hidden="false" customHeight="false" outlineLevel="0" collapsed="false">
      <c r="A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5" t="s">
        <v>21</v>
      </c>
      <c r="B1" s="5" t="s">
        <v>22</v>
      </c>
      <c r="D1" s="6" t="s">
        <v>23</v>
      </c>
      <c r="E1" s="7" t="n">
        <v>46293</v>
      </c>
    </row>
    <row r="2" customFormat="false" ht="15" hidden="false" customHeight="false" outlineLevel="0" collapsed="false">
      <c r="A2" s="8" t="s">
        <v>24</v>
      </c>
      <c r="B2" s="9" t="n">
        <v>0.01</v>
      </c>
    </row>
    <row r="3" customFormat="false" ht="15" hidden="false" customHeight="false" outlineLevel="0" collapsed="false">
      <c r="A3" s="8" t="s">
        <v>25</v>
      </c>
      <c r="B3" s="9" t="n">
        <v>0.005</v>
      </c>
    </row>
    <row r="4" customFormat="false" ht="15" hidden="false" customHeight="false" outlineLevel="0" collapsed="false">
      <c r="A4" s="8" t="s">
        <v>26</v>
      </c>
      <c r="B4" s="9" t="n">
        <v>0.0025</v>
      </c>
    </row>
    <row r="5" customFormat="false" ht="15" hidden="false" customHeight="false" outlineLevel="0" collapsed="false">
      <c r="A5" s="8" t="s">
        <v>27</v>
      </c>
      <c r="B5" s="9" t="n">
        <v>0.003</v>
      </c>
    </row>
    <row r="7" customFormat="false" ht="15" hidden="false" customHeight="false" outlineLevel="0" collapsed="false">
      <c r="A7" s="1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</row>
    <row r="2" customFormat="false" ht="15" hidden="false" customHeight="false" outlineLevel="0" collapsed="false">
      <c r="A2" s="11" t="s">
        <v>38</v>
      </c>
      <c r="B2" s="12" t="n">
        <v>46293</v>
      </c>
      <c r="C2" s="11" t="s">
        <v>39</v>
      </c>
      <c r="D2" s="11" t="s">
        <v>24</v>
      </c>
      <c r="E2" s="11" t="s">
        <v>40</v>
      </c>
      <c r="F2" s="11" t="s">
        <v>41</v>
      </c>
      <c r="G2" s="13" t="n">
        <v>36166</v>
      </c>
      <c r="H2" s="14" t="n">
        <v>149.54</v>
      </c>
      <c r="I2" s="14" t="n">
        <v>149.33</v>
      </c>
    </row>
    <row r="3" customFormat="false" ht="15" hidden="false" customHeight="false" outlineLevel="0" collapsed="false">
      <c r="A3" s="11" t="s">
        <v>42</v>
      </c>
      <c r="B3" s="12" t="n">
        <v>46293</v>
      </c>
      <c r="C3" s="11" t="s">
        <v>43</v>
      </c>
      <c r="D3" s="11" t="s">
        <v>27</v>
      </c>
      <c r="E3" s="11" t="s">
        <v>44</v>
      </c>
      <c r="F3" s="11" t="s">
        <v>41</v>
      </c>
      <c r="G3" s="13" t="n">
        <v>4061266</v>
      </c>
      <c r="H3" s="14" t="n">
        <v>1.43472</v>
      </c>
      <c r="I3" s="14" t="n">
        <v>1.43723</v>
      </c>
    </row>
    <row r="4" customFormat="false" ht="15" hidden="false" customHeight="false" outlineLevel="0" collapsed="false">
      <c r="A4" s="11" t="s">
        <v>45</v>
      </c>
      <c r="B4" s="12" t="n">
        <v>46293</v>
      </c>
      <c r="C4" s="11" t="s">
        <v>46</v>
      </c>
      <c r="D4" s="11" t="s">
        <v>25</v>
      </c>
      <c r="E4" s="11" t="s">
        <v>47</v>
      </c>
      <c r="F4" s="11" t="s">
        <v>48</v>
      </c>
      <c r="G4" s="13" t="n">
        <v>15502</v>
      </c>
      <c r="H4" s="14" t="n">
        <v>107.201</v>
      </c>
      <c r="I4" s="14" t="n">
        <v>107.128</v>
      </c>
    </row>
    <row r="5" customFormat="false" ht="15" hidden="false" customHeight="false" outlineLevel="0" collapsed="false">
      <c r="A5" s="11" t="s">
        <v>49</v>
      </c>
      <c r="B5" s="12" t="n">
        <v>46293</v>
      </c>
      <c r="C5" s="11" t="s">
        <v>50</v>
      </c>
      <c r="D5" s="11" t="s">
        <v>25</v>
      </c>
      <c r="E5" s="11" t="s">
        <v>51</v>
      </c>
      <c r="F5" s="11" t="s">
        <v>52</v>
      </c>
      <c r="G5" s="13" t="n">
        <v>1316</v>
      </c>
      <c r="H5" s="14" t="n">
        <v>103.86</v>
      </c>
      <c r="I5" s="14" t="n">
        <v>104.121</v>
      </c>
    </row>
    <row r="6" customFormat="false" ht="15" hidden="false" customHeight="false" outlineLevel="0" collapsed="false">
      <c r="A6" s="11" t="s">
        <v>53</v>
      </c>
      <c r="B6" s="12" t="n">
        <v>46293</v>
      </c>
      <c r="C6" s="11" t="s">
        <v>54</v>
      </c>
      <c r="D6" s="11" t="s">
        <v>27</v>
      </c>
      <c r="E6" s="11" t="s">
        <v>55</v>
      </c>
      <c r="F6" s="11" t="s">
        <v>56</v>
      </c>
      <c r="G6" s="13" t="n">
        <v>4847348</v>
      </c>
      <c r="H6" s="14" t="n">
        <v>1.13117</v>
      </c>
      <c r="I6" s="14" t="n">
        <v>1.12959</v>
      </c>
    </row>
    <row r="7" customFormat="false" ht="15" hidden="false" customHeight="false" outlineLevel="0" collapsed="false">
      <c r="A7" s="11" t="s">
        <v>57</v>
      </c>
      <c r="B7" s="12" t="n">
        <v>46293</v>
      </c>
      <c r="C7" s="11" t="s">
        <v>43</v>
      </c>
      <c r="D7" s="11" t="s">
        <v>27</v>
      </c>
      <c r="E7" s="11" t="s">
        <v>58</v>
      </c>
      <c r="F7" s="11" t="s">
        <v>41</v>
      </c>
      <c r="G7" s="13" t="n">
        <v>1694942</v>
      </c>
      <c r="H7" s="14" t="n">
        <v>0.819</v>
      </c>
      <c r="I7" s="14" t="n">
        <v>0.82022</v>
      </c>
    </row>
    <row r="8" customFormat="false" ht="15" hidden="false" customHeight="false" outlineLevel="0" collapsed="false">
      <c r="A8" s="11" t="s">
        <v>59</v>
      </c>
      <c r="B8" s="12" t="n">
        <v>46293</v>
      </c>
      <c r="C8" s="11" t="s">
        <v>60</v>
      </c>
      <c r="D8" s="11" t="s">
        <v>24</v>
      </c>
      <c r="E8" s="11" t="s">
        <v>61</v>
      </c>
      <c r="F8" s="11" t="s">
        <v>56</v>
      </c>
      <c r="G8" s="13" t="n">
        <v>47824</v>
      </c>
      <c r="H8" s="14" t="n">
        <v>36.97</v>
      </c>
      <c r="I8" s="14" t="n">
        <v>37.02</v>
      </c>
    </row>
    <row r="9" customFormat="false" ht="15" hidden="false" customHeight="false" outlineLevel="0" collapsed="false">
      <c r="A9" s="11" t="s">
        <v>62</v>
      </c>
      <c r="B9" s="12" t="n">
        <v>46293</v>
      </c>
      <c r="C9" s="11" t="s">
        <v>46</v>
      </c>
      <c r="D9" s="11" t="s">
        <v>25</v>
      </c>
      <c r="E9" s="11" t="s">
        <v>63</v>
      </c>
      <c r="F9" s="11" t="s">
        <v>48</v>
      </c>
      <c r="G9" s="13" t="n">
        <v>1904</v>
      </c>
      <c r="H9" s="14" t="n">
        <v>102.872</v>
      </c>
      <c r="I9" s="14" t="n">
        <v>102.744</v>
      </c>
    </row>
    <row r="10" customFormat="false" ht="15" hidden="false" customHeight="false" outlineLevel="0" collapsed="false">
      <c r="A10" s="11" t="s">
        <v>64</v>
      </c>
      <c r="B10" s="12" t="n">
        <v>46293</v>
      </c>
      <c r="C10" s="11" t="s">
        <v>50</v>
      </c>
      <c r="D10" s="11" t="s">
        <v>25</v>
      </c>
      <c r="E10" s="11" t="s">
        <v>65</v>
      </c>
      <c r="F10" s="11" t="s">
        <v>52</v>
      </c>
      <c r="G10" s="13" t="n">
        <v>4748</v>
      </c>
      <c r="H10" s="14" t="n">
        <v>101.941</v>
      </c>
      <c r="I10" s="14" t="n">
        <v>101.92</v>
      </c>
    </row>
    <row r="11" customFormat="false" ht="15" hidden="false" customHeight="false" outlineLevel="0" collapsed="false">
      <c r="A11" s="11" t="s">
        <v>66</v>
      </c>
      <c r="B11" s="12" t="n">
        <v>46293</v>
      </c>
      <c r="C11" s="11" t="s">
        <v>60</v>
      </c>
      <c r="D11" s="11" t="s">
        <v>24</v>
      </c>
      <c r="E11" s="11" t="s">
        <v>67</v>
      </c>
      <c r="F11" s="11" t="s">
        <v>56</v>
      </c>
      <c r="G11" s="13" t="n">
        <v>23319</v>
      </c>
      <c r="H11" s="14" t="n">
        <v>204.52</v>
      </c>
      <c r="I11" s="14" t="n">
        <v>204.34</v>
      </c>
    </row>
    <row r="12" customFormat="false" ht="15" hidden="false" customHeight="false" outlineLevel="0" collapsed="false">
      <c r="A12" s="11" t="s">
        <v>68</v>
      </c>
      <c r="B12" s="12" t="n">
        <v>46293</v>
      </c>
      <c r="C12" s="11" t="s">
        <v>43</v>
      </c>
      <c r="D12" s="11" t="s">
        <v>27</v>
      </c>
      <c r="E12" s="11" t="s">
        <v>69</v>
      </c>
      <c r="F12" s="11" t="s">
        <v>41</v>
      </c>
      <c r="G12" s="13" t="n">
        <v>1309263</v>
      </c>
      <c r="H12" s="14" t="n">
        <v>0.61535</v>
      </c>
      <c r="I12" s="14" t="n">
        <v>0.61606</v>
      </c>
    </row>
    <row r="13" customFormat="false" ht="15" hidden="false" customHeight="false" outlineLevel="0" collapsed="false">
      <c r="A13" s="11" t="s">
        <v>70</v>
      </c>
      <c r="B13" s="12" t="n">
        <v>46293</v>
      </c>
      <c r="C13" s="11" t="s">
        <v>46</v>
      </c>
      <c r="D13" s="11" t="s">
        <v>25</v>
      </c>
      <c r="E13" s="11" t="s">
        <v>71</v>
      </c>
      <c r="F13" s="11" t="s">
        <v>48</v>
      </c>
      <c r="G13" s="13" t="n">
        <v>15488</v>
      </c>
      <c r="H13" s="14" t="n">
        <v>99.44</v>
      </c>
      <c r="I13" s="14" t="n">
        <v>99.439</v>
      </c>
    </row>
    <row r="14" customFormat="false" ht="15" hidden="false" customHeight="false" outlineLevel="0" collapsed="false">
      <c r="A14" s="11" t="s">
        <v>72</v>
      </c>
      <c r="B14" s="12" t="n">
        <v>46293</v>
      </c>
      <c r="C14" s="11" t="s">
        <v>50</v>
      </c>
      <c r="D14" s="11" t="s">
        <v>25</v>
      </c>
      <c r="E14" s="11" t="s">
        <v>73</v>
      </c>
      <c r="F14" s="11" t="s">
        <v>52</v>
      </c>
      <c r="G14" s="13" t="n">
        <v>11885</v>
      </c>
      <c r="H14" s="14" t="n">
        <v>94.87</v>
      </c>
      <c r="I14" s="14" t="n">
        <v>94.935</v>
      </c>
    </row>
    <row r="15" customFormat="false" ht="15" hidden="false" customHeight="false" outlineLevel="0" collapsed="false">
      <c r="A15" s="11" t="s">
        <v>74</v>
      </c>
      <c r="B15" s="12" t="n">
        <v>46293</v>
      </c>
      <c r="C15" s="11" t="s">
        <v>39</v>
      </c>
      <c r="D15" s="11" t="s">
        <v>24</v>
      </c>
      <c r="E15" s="11" t="s">
        <v>75</v>
      </c>
      <c r="F15" s="11" t="s">
        <v>41</v>
      </c>
      <c r="G15" s="13" t="n">
        <v>9250</v>
      </c>
      <c r="H15" s="14" t="n">
        <v>60</v>
      </c>
      <c r="I15" s="14" t="n">
        <v>61.38</v>
      </c>
    </row>
    <row r="16" customFormat="false" ht="15" hidden="false" customHeight="false" outlineLevel="0" collapsed="false">
      <c r="A16" s="11" t="s">
        <v>59</v>
      </c>
      <c r="B16" s="12" t="n">
        <v>46293</v>
      </c>
      <c r="C16" s="11" t="s">
        <v>60</v>
      </c>
      <c r="D16" s="11" t="s">
        <v>24</v>
      </c>
      <c r="E16" s="11" t="s">
        <v>61</v>
      </c>
      <c r="F16" s="11" t="s">
        <v>56</v>
      </c>
      <c r="G16" s="13" t="n">
        <v>47824</v>
      </c>
      <c r="H16" s="14" t="n">
        <v>36.97</v>
      </c>
      <c r="I16" s="14" t="n">
        <v>37.02</v>
      </c>
    </row>
    <row r="17" customFormat="false" ht="15" hidden="false" customHeight="false" outlineLevel="0" collapsed="false">
      <c r="A17" s="11" t="s">
        <v>76</v>
      </c>
      <c r="B17" s="12" t="n">
        <v>46293</v>
      </c>
      <c r="C17" s="11" t="s">
        <v>77</v>
      </c>
      <c r="D17" s="11" t="s">
        <v>26</v>
      </c>
      <c r="E17" s="11" t="s">
        <v>78</v>
      </c>
      <c r="F17" s="11" t="s">
        <v>48</v>
      </c>
      <c r="G17" s="13" t="n">
        <v>14122</v>
      </c>
      <c r="H17" s="14" t="n">
        <v>98.306</v>
      </c>
      <c r="I17" s="14" t="n">
        <v>98.27</v>
      </c>
    </row>
    <row r="18" customFormat="false" ht="15" hidden="false" customHeight="false" outlineLevel="0" collapsed="false">
      <c r="A18" s="11" t="s">
        <v>79</v>
      </c>
      <c r="B18" s="12" t="n">
        <v>46293</v>
      </c>
      <c r="C18" s="11" t="s">
        <v>50</v>
      </c>
      <c r="D18" s="11" t="s">
        <v>25</v>
      </c>
      <c r="E18" s="11" t="s">
        <v>80</v>
      </c>
      <c r="F18" s="11" t="s">
        <v>52</v>
      </c>
      <c r="G18" s="13" t="n">
        <v>14510</v>
      </c>
      <c r="H18" s="14" t="n">
        <v>105.834</v>
      </c>
      <c r="I18" s="14" t="n">
        <v>105.359</v>
      </c>
    </row>
    <row r="19" customFormat="false" ht="15" hidden="false" customHeight="false" outlineLevel="0" collapsed="false">
      <c r="A19" s="11" t="s">
        <v>81</v>
      </c>
      <c r="B19" s="12" t="n">
        <v>46293</v>
      </c>
      <c r="C19" s="11" t="s">
        <v>50</v>
      </c>
      <c r="D19" s="11" t="s">
        <v>25</v>
      </c>
      <c r="E19" s="11" t="s">
        <v>82</v>
      </c>
      <c r="F19" s="11" t="s">
        <v>52</v>
      </c>
      <c r="G19" s="13" t="n">
        <v>3750</v>
      </c>
      <c r="H19" s="14" t="n">
        <v>106.511</v>
      </c>
      <c r="I19" s="14" t="n">
        <v>106.841</v>
      </c>
    </row>
    <row r="20" customFormat="false" ht="15" hidden="false" customHeight="false" outlineLevel="0" collapsed="false">
      <c r="A20" s="11" t="s">
        <v>83</v>
      </c>
      <c r="B20" s="12" t="n">
        <v>46293</v>
      </c>
      <c r="C20" s="11" t="s">
        <v>60</v>
      </c>
      <c r="D20" s="11" t="s">
        <v>24</v>
      </c>
      <c r="E20" s="11" t="s">
        <v>84</v>
      </c>
      <c r="F20" s="11" t="s">
        <v>56</v>
      </c>
      <c r="G20" s="13" t="n">
        <v>4590</v>
      </c>
      <c r="H20" s="14" t="n">
        <v>258.38</v>
      </c>
      <c r="I20" s="14" t="n">
        <v>258.99</v>
      </c>
    </row>
    <row r="21" customFormat="false" ht="15" hidden="false" customHeight="false" outlineLevel="0" collapsed="false">
      <c r="A21" s="11" t="s">
        <v>85</v>
      </c>
      <c r="B21" s="12" t="n">
        <v>46293</v>
      </c>
      <c r="C21" s="11" t="s">
        <v>77</v>
      </c>
      <c r="D21" s="11" t="s">
        <v>26</v>
      </c>
      <c r="E21" s="11" t="s">
        <v>86</v>
      </c>
      <c r="F21" s="11" t="s">
        <v>48</v>
      </c>
      <c r="G21" s="13" t="n">
        <v>13092</v>
      </c>
      <c r="H21" s="14" t="n">
        <v>101.312</v>
      </c>
      <c r="I21" s="14" t="n">
        <v>101.272</v>
      </c>
    </row>
    <row r="22" customFormat="false" ht="15" hidden="false" customHeight="false" outlineLevel="0" collapsed="false">
      <c r="A22" s="11" t="s">
        <v>87</v>
      </c>
      <c r="B22" s="12" t="n">
        <v>46293</v>
      </c>
      <c r="C22" s="11" t="s">
        <v>39</v>
      </c>
      <c r="D22" s="11" t="s">
        <v>24</v>
      </c>
      <c r="E22" s="11" t="s">
        <v>88</v>
      </c>
      <c r="F22" s="11" t="s">
        <v>41</v>
      </c>
      <c r="G22" s="13" t="n">
        <v>35246</v>
      </c>
      <c r="H22" s="14" t="n">
        <v>244.17</v>
      </c>
      <c r="I22" s="14" t="n">
        <v>243.56</v>
      </c>
    </row>
    <row r="23" customFormat="false" ht="15" hidden="false" customHeight="false" outlineLevel="0" collapsed="false">
      <c r="A23" s="11" t="s">
        <v>89</v>
      </c>
      <c r="B23" s="12" t="n">
        <v>46293</v>
      </c>
      <c r="C23" s="11" t="s">
        <v>46</v>
      </c>
      <c r="D23" s="11" t="s">
        <v>25</v>
      </c>
      <c r="E23" s="11" t="s">
        <v>90</v>
      </c>
      <c r="F23" s="11" t="s">
        <v>48</v>
      </c>
      <c r="G23" s="13" t="n">
        <v>6064</v>
      </c>
      <c r="H23" s="14" t="n">
        <v>107.581</v>
      </c>
      <c r="I23" s="14" t="n">
        <v>107.456</v>
      </c>
    </row>
    <row r="24" customFormat="false" ht="15" hidden="false" customHeight="false" outlineLevel="0" collapsed="false">
      <c r="A24" s="11" t="s">
        <v>91</v>
      </c>
      <c r="B24" s="12" t="n">
        <v>46293</v>
      </c>
      <c r="C24" s="11" t="s">
        <v>46</v>
      </c>
      <c r="D24" s="11" t="s">
        <v>25</v>
      </c>
      <c r="E24" s="11" t="s">
        <v>92</v>
      </c>
      <c r="F24" s="11" t="s">
        <v>48</v>
      </c>
      <c r="G24" s="13" t="n">
        <v>13423</v>
      </c>
      <c r="H24" s="14" t="n">
        <v>104.18</v>
      </c>
      <c r="I24" s="14" t="n">
        <v>104.056</v>
      </c>
    </row>
    <row r="25" customFormat="false" ht="15" hidden="false" customHeight="false" outlineLevel="0" collapsed="false">
      <c r="A25" s="11" t="s">
        <v>93</v>
      </c>
      <c r="B25" s="12" t="n">
        <v>46293</v>
      </c>
      <c r="C25" s="11" t="s">
        <v>50</v>
      </c>
      <c r="D25" s="11" t="s">
        <v>25</v>
      </c>
      <c r="E25" s="11" t="s">
        <v>94</v>
      </c>
      <c r="F25" s="11" t="s">
        <v>52</v>
      </c>
      <c r="G25" s="13" t="n">
        <v>9943</v>
      </c>
      <c r="H25" s="14" t="n">
        <v>99.812</v>
      </c>
      <c r="I25" s="14" t="n">
        <v>100.306</v>
      </c>
    </row>
    <row r="26" customFormat="false" ht="15" hidden="false" customHeight="false" outlineLevel="0" collapsed="false">
      <c r="A26" s="11" t="s">
        <v>95</v>
      </c>
      <c r="B26" s="12" t="n">
        <v>46293</v>
      </c>
      <c r="C26" s="11" t="s">
        <v>96</v>
      </c>
      <c r="D26" s="11" t="s">
        <v>26</v>
      </c>
      <c r="E26" s="11" t="s">
        <v>97</v>
      </c>
      <c r="F26" s="11" t="s">
        <v>52</v>
      </c>
      <c r="G26" s="13" t="n">
        <v>8841</v>
      </c>
      <c r="H26" s="14" t="n">
        <v>96.231</v>
      </c>
      <c r="I26" s="14" t="n">
        <v>96.276</v>
      </c>
    </row>
    <row r="27" customFormat="false" ht="15" hidden="false" customHeight="false" outlineLevel="0" collapsed="false">
      <c r="A27" s="11" t="s">
        <v>98</v>
      </c>
      <c r="B27" s="12" t="n">
        <v>46293</v>
      </c>
      <c r="C27" s="11" t="s">
        <v>46</v>
      </c>
      <c r="D27" s="11" t="s">
        <v>25</v>
      </c>
      <c r="E27" s="11" t="s">
        <v>99</v>
      </c>
      <c r="F27" s="11" t="s">
        <v>48</v>
      </c>
      <c r="G27" s="13" t="n">
        <v>19864</v>
      </c>
      <c r="H27" s="14" t="n">
        <v>106.477</v>
      </c>
      <c r="I27" s="14" t="n">
        <v>106.833</v>
      </c>
    </row>
    <row r="28" customFormat="false" ht="15" hidden="false" customHeight="false" outlineLevel="0" collapsed="false">
      <c r="A28" s="11" t="s">
        <v>100</v>
      </c>
      <c r="B28" s="12" t="n">
        <v>46293</v>
      </c>
      <c r="C28" s="11" t="s">
        <v>77</v>
      </c>
      <c r="D28" s="11" t="s">
        <v>26</v>
      </c>
      <c r="E28" s="11" t="s">
        <v>101</v>
      </c>
      <c r="F28" s="11" t="s">
        <v>48</v>
      </c>
      <c r="G28" s="13" t="n">
        <v>16976</v>
      </c>
      <c r="H28" s="14" t="n">
        <v>98.691</v>
      </c>
      <c r="I28" s="14" t="n">
        <v>98.779</v>
      </c>
    </row>
    <row r="29" customFormat="false" ht="15" hidden="false" customHeight="false" outlineLevel="0" collapsed="false">
      <c r="A29" s="11" t="s">
        <v>102</v>
      </c>
      <c r="B29" s="12" t="n">
        <v>46293</v>
      </c>
      <c r="C29" s="11" t="s">
        <v>50</v>
      </c>
      <c r="D29" s="11" t="s">
        <v>25</v>
      </c>
      <c r="E29" s="11" t="s">
        <v>103</v>
      </c>
      <c r="F29" s="11" t="s">
        <v>52</v>
      </c>
      <c r="G29" s="13" t="n">
        <v>6007</v>
      </c>
      <c r="H29" s="14" t="n">
        <v>95.7</v>
      </c>
      <c r="I29" s="14"/>
    </row>
    <row r="30" customFormat="false" ht="15" hidden="false" customHeight="false" outlineLevel="0" collapsed="false">
      <c r="A30" s="11" t="s">
        <v>104</v>
      </c>
      <c r="B30" s="12" t="n">
        <v>46293</v>
      </c>
      <c r="C30" s="11" t="s">
        <v>77</v>
      </c>
      <c r="D30" s="11" t="s">
        <v>105</v>
      </c>
      <c r="E30" s="11" t="s">
        <v>106</v>
      </c>
      <c r="F30" s="11" t="s">
        <v>48</v>
      </c>
      <c r="G30" s="13" t="n">
        <v>15051</v>
      </c>
      <c r="H30" s="14" t="n">
        <v>103.268</v>
      </c>
      <c r="I30" s="14" t="n">
        <v>103.308</v>
      </c>
    </row>
    <row r="31" customFormat="false" ht="15" hidden="false" customHeight="false" outlineLevel="0" collapsed="false">
      <c r="A31" s="11" t="s">
        <v>107</v>
      </c>
      <c r="B31" s="12" t="n">
        <v>46293</v>
      </c>
      <c r="C31" s="11" t="s">
        <v>46</v>
      </c>
      <c r="D31" s="11" t="s">
        <v>25</v>
      </c>
      <c r="E31" s="11" t="s">
        <v>108</v>
      </c>
      <c r="F31" s="11" t="s">
        <v>48</v>
      </c>
      <c r="G31" s="13" t="n">
        <v>19863</v>
      </c>
      <c r="H31" s="14" t="n">
        <v>106.178</v>
      </c>
      <c r="I31" s="14" t="n">
        <v>106.471</v>
      </c>
    </row>
    <row r="32" customFormat="false" ht="15" hidden="false" customHeight="false" outlineLevel="0" collapsed="false">
      <c r="A32" s="11" t="s">
        <v>109</v>
      </c>
      <c r="B32" s="12" t="n">
        <v>46293</v>
      </c>
      <c r="C32" s="11" t="s">
        <v>39</v>
      </c>
      <c r="D32" s="11" t="s">
        <v>110</v>
      </c>
      <c r="E32" s="11" t="s">
        <v>111</v>
      </c>
      <c r="F32" s="11" t="s">
        <v>41</v>
      </c>
      <c r="G32" s="13" t="n">
        <v>15035</v>
      </c>
      <c r="H32" s="14" t="n">
        <v>181.66</v>
      </c>
      <c r="I32" s="14" t="n">
        <v>181.74</v>
      </c>
    </row>
    <row r="33" customFormat="false" ht="15" hidden="false" customHeight="false" outlineLevel="0" collapsed="false">
      <c r="A33" s="11" t="s">
        <v>112</v>
      </c>
      <c r="B33" s="12" t="n">
        <v>46293</v>
      </c>
      <c r="C33" s="11" t="s">
        <v>96</v>
      </c>
      <c r="D33" s="11" t="s">
        <v>26</v>
      </c>
      <c r="E33" s="11" t="s">
        <v>113</v>
      </c>
      <c r="F33" s="11" t="s">
        <v>52</v>
      </c>
      <c r="G33" s="13" t="n">
        <v>19672</v>
      </c>
      <c r="H33" s="14" t="n">
        <v>102.004</v>
      </c>
      <c r="I33" s="14" t="n">
        <v>102.042</v>
      </c>
    </row>
    <row r="34" customFormat="false" ht="15" hidden="false" customHeight="false" outlineLevel="0" collapsed="false">
      <c r="A34" s="11" t="s">
        <v>114</v>
      </c>
      <c r="B34" s="12" t="n">
        <v>46293</v>
      </c>
      <c r="C34" s="11" t="s">
        <v>50</v>
      </c>
      <c r="D34" s="11" t="s">
        <v>25</v>
      </c>
      <c r="E34" s="11" t="s">
        <v>115</v>
      </c>
      <c r="F34" s="11" t="s">
        <v>52</v>
      </c>
      <c r="G34" s="13" t="n">
        <v>9583</v>
      </c>
      <c r="H34" s="14" t="n">
        <v>102.194</v>
      </c>
      <c r="I34" s="14" t="n">
        <v>102.261</v>
      </c>
    </row>
    <row r="35" customFormat="false" ht="15" hidden="false" customHeight="false" outlineLevel="0" collapsed="false">
      <c r="A35" s="11" t="s">
        <v>116</v>
      </c>
      <c r="B35" s="12" t="n">
        <v>46293</v>
      </c>
      <c r="C35" s="11" t="s">
        <v>39</v>
      </c>
      <c r="D35" s="11" t="s">
        <v>24</v>
      </c>
      <c r="E35" s="11" t="s">
        <v>117</v>
      </c>
      <c r="F35" s="11" t="s">
        <v>41</v>
      </c>
      <c r="G35" s="13" t="n">
        <v>46207</v>
      </c>
      <c r="H35" s="14" t="n">
        <v>253.45</v>
      </c>
      <c r="I35" s="14" t="n">
        <v>254.29</v>
      </c>
    </row>
    <row r="36" customFormat="false" ht="15" hidden="false" customHeight="false" outlineLevel="0" collapsed="false">
      <c r="A36" s="11" t="s">
        <v>118</v>
      </c>
      <c r="B36" s="12" t="n">
        <v>46293</v>
      </c>
      <c r="C36" s="11" t="s">
        <v>77</v>
      </c>
      <c r="D36" s="11" t="s">
        <v>26</v>
      </c>
      <c r="E36" s="11" t="s">
        <v>119</v>
      </c>
      <c r="F36" s="11" t="s">
        <v>48</v>
      </c>
      <c r="G36" s="13" t="n">
        <v>17085</v>
      </c>
      <c r="H36" s="14" t="n">
        <v>101.579</v>
      </c>
      <c r="I36" s="14" t="n">
        <v>101.436</v>
      </c>
    </row>
    <row r="37" customFormat="false" ht="15" hidden="false" customHeight="false" outlineLevel="0" collapsed="false">
      <c r="A37" s="11" t="s">
        <v>120</v>
      </c>
      <c r="B37" s="12" t="n">
        <v>46293</v>
      </c>
      <c r="C37" s="11" t="s">
        <v>39</v>
      </c>
      <c r="D37" s="11" t="s">
        <v>24</v>
      </c>
      <c r="E37" s="11" t="s">
        <v>121</v>
      </c>
      <c r="F37" s="11" t="s">
        <v>41</v>
      </c>
      <c r="G37" s="13" t="n">
        <v>612</v>
      </c>
      <c r="H37" s="14" t="n">
        <v>191.27</v>
      </c>
      <c r="I37" s="14" t="n">
        <v>189.89</v>
      </c>
    </row>
    <row r="38" customFormat="false" ht="15" hidden="false" customHeight="false" outlineLevel="0" collapsed="false">
      <c r="A38" s="11" t="s">
        <v>122</v>
      </c>
      <c r="B38" s="12" t="n">
        <v>46293</v>
      </c>
      <c r="C38" s="11" t="s">
        <v>46</v>
      </c>
      <c r="D38" s="11" t="s">
        <v>25</v>
      </c>
      <c r="E38" s="11" t="s">
        <v>123</v>
      </c>
      <c r="F38" s="11" t="s">
        <v>48</v>
      </c>
      <c r="G38" s="13" t="n">
        <v>11688</v>
      </c>
      <c r="H38" s="14" t="n">
        <v>102.67</v>
      </c>
      <c r="I38" s="14" t="n">
        <v>102.283</v>
      </c>
    </row>
    <row r="39" customFormat="false" ht="15" hidden="false" customHeight="false" outlineLevel="0" collapsed="false">
      <c r="A39" s="11" t="s">
        <v>124</v>
      </c>
      <c r="B39" s="12" t="n">
        <v>46293</v>
      </c>
      <c r="C39" s="11" t="s">
        <v>54</v>
      </c>
      <c r="D39" s="11" t="s">
        <v>27</v>
      </c>
      <c r="E39" s="11" t="s">
        <v>125</v>
      </c>
      <c r="F39" s="11" t="s">
        <v>56</v>
      </c>
      <c r="G39" s="13" t="n">
        <v>430700</v>
      </c>
      <c r="H39" s="14" t="n">
        <v>1.5034</v>
      </c>
      <c r="I39" s="14" t="n">
        <v>1.50666</v>
      </c>
    </row>
    <row r="40" customFormat="false" ht="15" hidden="false" customHeight="false" outlineLevel="0" collapsed="false">
      <c r="A40" s="11" t="s">
        <v>126</v>
      </c>
      <c r="B40" s="12" t="n">
        <v>46293</v>
      </c>
      <c r="C40" s="11" t="s">
        <v>39</v>
      </c>
      <c r="D40" s="11" t="s">
        <v>24</v>
      </c>
      <c r="E40" s="11" t="s">
        <v>127</v>
      </c>
      <c r="F40" s="11" t="s">
        <v>41</v>
      </c>
      <c r="G40" s="13" t="n">
        <v>33381</v>
      </c>
      <c r="H40" s="14" t="n">
        <v>160.8</v>
      </c>
      <c r="I40" s="14" t="n">
        <v>160.52</v>
      </c>
    </row>
    <row r="41" customFormat="false" ht="15" hidden="false" customHeight="false" outlineLevel="0" collapsed="false">
      <c r="A41" s="11" t="s">
        <v>128</v>
      </c>
      <c r="B41" s="12" t="n">
        <v>46293</v>
      </c>
      <c r="C41" s="11" t="s">
        <v>46</v>
      </c>
      <c r="D41" s="11" t="s">
        <v>25</v>
      </c>
      <c r="E41" s="11" t="s">
        <v>129</v>
      </c>
      <c r="F41" s="11" t="s">
        <v>48</v>
      </c>
      <c r="G41" s="13" t="n">
        <v>15086</v>
      </c>
      <c r="H41" s="14" t="n">
        <v>100.767</v>
      </c>
      <c r="I41" s="14" t="n">
        <v>100.56</v>
      </c>
    </row>
    <row r="42" customFormat="false" ht="15" hidden="false" customHeight="false" outlineLevel="0" collapsed="false">
      <c r="A42" s="11" t="s">
        <v>130</v>
      </c>
      <c r="B42" s="12" t="n">
        <v>46290</v>
      </c>
      <c r="C42" s="11" t="s">
        <v>50</v>
      </c>
      <c r="D42" s="11" t="s">
        <v>25</v>
      </c>
      <c r="E42" s="11" t="s">
        <v>131</v>
      </c>
      <c r="F42" s="11" t="s">
        <v>52</v>
      </c>
      <c r="G42" s="13" t="n">
        <v>6560</v>
      </c>
      <c r="H42" s="14" t="n">
        <v>100.179</v>
      </c>
      <c r="I42" s="14" t="n">
        <v>100.007</v>
      </c>
    </row>
    <row r="43" customFormat="false" ht="15" hidden="false" customHeight="false" outlineLevel="0" collapsed="false">
      <c r="A43" s="11" t="s">
        <v>132</v>
      </c>
      <c r="B43" s="12" t="n">
        <v>46293</v>
      </c>
      <c r="C43" s="11" t="s">
        <v>50</v>
      </c>
      <c r="D43" s="11" t="s">
        <v>25</v>
      </c>
      <c r="E43" s="11" t="s">
        <v>133</v>
      </c>
      <c r="F43" s="11" t="s">
        <v>52</v>
      </c>
      <c r="G43" s="13" t="n">
        <v>7456</v>
      </c>
      <c r="H43" s="14" t="n">
        <v>100.319</v>
      </c>
      <c r="I43" s="14" t="n">
        <v>100.186</v>
      </c>
    </row>
    <row r="44" customFormat="false" ht="15" hidden="false" customHeight="false" outlineLevel="0" collapsed="false">
      <c r="A44" s="11" t="s">
        <v>134</v>
      </c>
      <c r="B44" s="12" t="n">
        <v>46293</v>
      </c>
      <c r="C44" s="11" t="s">
        <v>43</v>
      </c>
      <c r="D44" s="11" t="s">
        <v>27</v>
      </c>
      <c r="E44" s="11" t="s">
        <v>135</v>
      </c>
      <c r="F44" s="11" t="s">
        <v>41</v>
      </c>
      <c r="G44" s="13" t="n">
        <v>4964749</v>
      </c>
      <c r="H44" s="14" t="n">
        <v>1.32605</v>
      </c>
      <c r="I44" s="14" t="n">
        <v>1.32758</v>
      </c>
    </row>
    <row r="45" customFormat="false" ht="15" hidden="false" customHeight="false" outlineLevel="0" collapsed="false">
      <c r="A45" s="11" t="s">
        <v>136</v>
      </c>
      <c r="B45" s="12" t="n">
        <v>46293</v>
      </c>
      <c r="C45" s="11" t="s">
        <v>77</v>
      </c>
      <c r="D45" s="11" t="s">
        <v>26</v>
      </c>
      <c r="E45" s="11" t="s">
        <v>137</v>
      </c>
      <c r="F45" s="11" t="s">
        <v>48</v>
      </c>
      <c r="G45" s="13" t="n">
        <v>16654</v>
      </c>
      <c r="H45" s="14" t="n">
        <v>103.529</v>
      </c>
      <c r="I45" s="14" t="n">
        <v>103.505</v>
      </c>
    </row>
    <row r="46" customFormat="false" ht="15" hidden="false" customHeight="false" outlineLevel="0" collapsed="false">
      <c r="A46" s="11" t="s">
        <v>138</v>
      </c>
      <c r="B46" s="12" t="n">
        <v>46293</v>
      </c>
      <c r="C46" s="11" t="s">
        <v>77</v>
      </c>
      <c r="D46" s="11" t="s">
        <v>26</v>
      </c>
      <c r="E46" s="11" t="s">
        <v>139</v>
      </c>
      <c r="F46" s="11" t="s">
        <v>48</v>
      </c>
      <c r="G46" s="13" t="n">
        <v>18502</v>
      </c>
      <c r="H46" s="14" t="n">
        <v>97.82</v>
      </c>
      <c r="I46" s="14" t="n">
        <v>97.813</v>
      </c>
    </row>
    <row r="47" customFormat="false" ht="15" hidden="false" customHeight="false" outlineLevel="0" collapsed="false">
      <c r="A47" s="11" t="s">
        <v>140</v>
      </c>
      <c r="B47" s="12" t="n">
        <v>46293</v>
      </c>
      <c r="C47" s="11" t="s">
        <v>50</v>
      </c>
      <c r="D47" s="11" t="s">
        <v>25</v>
      </c>
      <c r="E47" s="11" t="s">
        <v>141</v>
      </c>
      <c r="F47" s="11" t="s">
        <v>52</v>
      </c>
      <c r="G47" s="13" t="n">
        <v>14767</v>
      </c>
      <c r="H47" s="14" t="n">
        <v>95.309</v>
      </c>
      <c r="I47" s="14" t="n">
        <v>95.146</v>
      </c>
    </row>
    <row r="48" customFormat="false" ht="15" hidden="false" customHeight="false" outlineLevel="0" collapsed="false">
      <c r="A48" s="11" t="s">
        <v>142</v>
      </c>
      <c r="B48" s="12" t="n">
        <v>46293</v>
      </c>
      <c r="C48" s="11" t="s">
        <v>46</v>
      </c>
      <c r="D48" s="11" t="s">
        <v>25</v>
      </c>
      <c r="E48" s="11" t="s">
        <v>143</v>
      </c>
      <c r="F48" s="11" t="s">
        <v>48</v>
      </c>
      <c r="G48" s="13" t="n">
        <v>11819</v>
      </c>
      <c r="H48" s="14" t="n">
        <v>98.901</v>
      </c>
      <c r="I48" s="14" t="n">
        <v>99.256</v>
      </c>
    </row>
    <row r="49" customFormat="false" ht="15" hidden="false" customHeight="false" outlineLevel="0" collapsed="false">
      <c r="A49" s="11" t="s">
        <v>144</v>
      </c>
      <c r="B49" s="12" t="n">
        <v>46293</v>
      </c>
      <c r="C49" s="11" t="s">
        <v>60</v>
      </c>
      <c r="D49" s="11" t="s">
        <v>24</v>
      </c>
      <c r="E49" s="11" t="s">
        <v>145</v>
      </c>
      <c r="F49" s="11" t="s">
        <v>56</v>
      </c>
      <c r="G49" s="13" t="n">
        <v>31248</v>
      </c>
      <c r="H49" s="14" t="n">
        <v>55.95</v>
      </c>
      <c r="I49" s="14" t="n">
        <v>55.94</v>
      </c>
    </row>
    <row r="50" customFormat="false" ht="15" hidden="false" customHeight="false" outlineLevel="0" collapsed="false">
      <c r="A50" s="11" t="s">
        <v>146</v>
      </c>
      <c r="B50" s="12" t="n">
        <v>46293</v>
      </c>
      <c r="C50" s="11" t="s">
        <v>39</v>
      </c>
      <c r="D50" s="11" t="s">
        <v>24</v>
      </c>
      <c r="E50" s="11" t="s">
        <v>147</v>
      </c>
      <c r="F50" s="11" t="s">
        <v>41</v>
      </c>
      <c r="G50" s="13" t="n">
        <v>14825</v>
      </c>
      <c r="H50" s="14" t="n">
        <v>142.67</v>
      </c>
      <c r="I50" s="14" t="n">
        <v>143.03</v>
      </c>
    </row>
    <row r="51" customFormat="false" ht="15" hidden="false" customHeight="false" outlineLevel="0" collapsed="false">
      <c r="A51" s="11" t="s">
        <v>148</v>
      </c>
      <c r="B51" s="12" t="n">
        <v>46293</v>
      </c>
      <c r="C51" s="11" t="s">
        <v>96</v>
      </c>
      <c r="D51" s="11" t="s">
        <v>26</v>
      </c>
      <c r="E51" s="11" t="s">
        <v>149</v>
      </c>
      <c r="F51" s="11" t="s">
        <v>52</v>
      </c>
      <c r="G51" s="13" t="n">
        <v>17579</v>
      </c>
      <c r="H51" s="14" t="n">
        <v>98.778</v>
      </c>
      <c r="I51" s="14" t="n">
        <v>98.864</v>
      </c>
    </row>
    <row r="52" customFormat="false" ht="15" hidden="false" customHeight="false" outlineLevel="0" collapsed="false">
      <c r="A52" s="11" t="s">
        <v>150</v>
      </c>
      <c r="B52" s="12" t="n">
        <v>46293</v>
      </c>
      <c r="C52" s="11" t="s">
        <v>60</v>
      </c>
      <c r="D52" s="11" t="s">
        <v>24</v>
      </c>
      <c r="E52" s="11" t="s">
        <v>151</v>
      </c>
      <c r="F52" s="11" t="s">
        <v>56</v>
      </c>
      <c r="G52" s="13" t="n">
        <v>3765</v>
      </c>
      <c r="H52" s="14" t="n">
        <v>211.69</v>
      </c>
      <c r="I52" s="14" t="n">
        <v>209.32</v>
      </c>
    </row>
    <row r="53" customFormat="false" ht="15" hidden="false" customHeight="false" outlineLevel="0" collapsed="false">
      <c r="A53" s="11" t="s">
        <v>152</v>
      </c>
      <c r="B53" s="12" t="n">
        <v>46293</v>
      </c>
      <c r="C53" s="11" t="s">
        <v>50</v>
      </c>
      <c r="D53" s="11" t="s">
        <v>25</v>
      </c>
      <c r="E53" s="11" t="s">
        <v>153</v>
      </c>
      <c r="F53" s="11" t="s">
        <v>52</v>
      </c>
      <c r="G53" s="13" t="n">
        <v>11929</v>
      </c>
      <c r="H53" s="14" t="n">
        <v>102.149</v>
      </c>
      <c r="I53" s="14" t="n">
        <v>102.112</v>
      </c>
    </row>
    <row r="54" customFormat="false" ht="15" hidden="false" customHeight="false" outlineLevel="0" collapsed="false">
      <c r="A54" s="11" t="s">
        <v>154</v>
      </c>
      <c r="B54" s="12" t="n">
        <v>46293</v>
      </c>
      <c r="C54" s="11" t="s">
        <v>96</v>
      </c>
      <c r="D54" s="11" t="s">
        <v>26</v>
      </c>
      <c r="E54" s="11" t="s">
        <v>155</v>
      </c>
      <c r="F54" s="11" t="s">
        <v>52</v>
      </c>
      <c r="G54" s="13" t="n">
        <v>19810</v>
      </c>
      <c r="H54" s="14" t="n">
        <v>102.982</v>
      </c>
      <c r="I54" s="14" t="n">
        <v>102.834</v>
      </c>
    </row>
    <row r="55" customFormat="false" ht="15" hidden="false" customHeight="false" outlineLevel="0" collapsed="false">
      <c r="A55" s="11" t="s">
        <v>156</v>
      </c>
      <c r="B55" s="12" t="n">
        <v>46293</v>
      </c>
      <c r="C55" s="11" t="s">
        <v>96</v>
      </c>
      <c r="D55" s="11" t="s">
        <v>26</v>
      </c>
      <c r="E55" s="11" t="s">
        <v>157</v>
      </c>
      <c r="F55" s="11" t="s">
        <v>52</v>
      </c>
      <c r="G55" s="13" t="n">
        <v>7066</v>
      </c>
      <c r="H55" s="14" t="n">
        <v>101.943</v>
      </c>
      <c r="I55" s="14" t="n">
        <v>101.782</v>
      </c>
    </row>
    <row r="56" customFormat="false" ht="15" hidden="false" customHeight="false" outlineLevel="0" collapsed="false">
      <c r="A56" s="11" t="s">
        <v>158</v>
      </c>
      <c r="B56" s="12" t="n">
        <v>46293</v>
      </c>
      <c r="C56" s="11" t="s">
        <v>60</v>
      </c>
      <c r="D56" s="11" t="s">
        <v>24</v>
      </c>
      <c r="E56" s="11" t="s">
        <v>159</v>
      </c>
      <c r="F56" s="11" t="s">
        <v>56</v>
      </c>
      <c r="G56" s="13" t="n">
        <v>30064</v>
      </c>
      <c r="H56" s="14" t="n">
        <v>94.37</v>
      </c>
      <c r="I56" s="14" t="n">
        <v>93.91</v>
      </c>
    </row>
    <row r="57" customFormat="false" ht="15" hidden="false" customHeight="false" outlineLevel="0" collapsed="false">
      <c r="A57" s="11" t="s">
        <v>160</v>
      </c>
      <c r="B57" s="12" t="n">
        <v>46290</v>
      </c>
      <c r="C57" s="11" t="s">
        <v>39</v>
      </c>
      <c r="D57" s="11" t="s">
        <v>24</v>
      </c>
      <c r="E57" s="11" t="s">
        <v>161</v>
      </c>
      <c r="F57" s="11" t="s">
        <v>41</v>
      </c>
      <c r="G57" s="13" t="n">
        <v>42229</v>
      </c>
      <c r="H57" s="14" t="n">
        <v>79.54</v>
      </c>
      <c r="I57" s="14" t="n">
        <v>80.38</v>
      </c>
    </row>
    <row r="58" customFormat="false" ht="15" hidden="false" customHeight="false" outlineLevel="0" collapsed="false">
      <c r="A58" s="11" t="s">
        <v>162</v>
      </c>
      <c r="B58" s="12" t="n">
        <v>46293</v>
      </c>
      <c r="C58" s="11" t="s">
        <v>46</v>
      </c>
      <c r="D58" s="11" t="s">
        <v>25</v>
      </c>
      <c r="E58" s="11" t="s">
        <v>163</v>
      </c>
      <c r="F58" s="11" t="s">
        <v>48</v>
      </c>
      <c r="G58" s="13" t="n">
        <v>12526</v>
      </c>
      <c r="H58" s="14" t="n">
        <v>99.632</v>
      </c>
      <c r="I58" s="14" t="n">
        <v>99.826</v>
      </c>
    </row>
    <row r="59" customFormat="false" ht="15" hidden="false" customHeight="false" outlineLevel="0" collapsed="false">
      <c r="A59" s="11" t="s">
        <v>164</v>
      </c>
      <c r="B59" s="12" t="n">
        <v>46293</v>
      </c>
      <c r="C59" s="11" t="s">
        <v>39</v>
      </c>
      <c r="D59" s="11" t="s">
        <v>24</v>
      </c>
      <c r="E59" s="11" t="s">
        <v>165</v>
      </c>
      <c r="F59" s="11" t="s">
        <v>41</v>
      </c>
      <c r="G59" s="13" t="n">
        <v>525</v>
      </c>
      <c r="H59" s="14" t="n">
        <v>81.72</v>
      </c>
      <c r="I59" s="14" t="n">
        <v>82.35</v>
      </c>
    </row>
    <row r="60" customFormat="false" ht="15" hidden="false" customHeight="false" outlineLevel="0" collapsed="false">
      <c r="A60" s="11" t="s">
        <v>166</v>
      </c>
      <c r="B60" s="12" t="n">
        <v>46290</v>
      </c>
      <c r="C60" s="11" t="s">
        <v>50</v>
      </c>
      <c r="D60" s="11" t="s">
        <v>25</v>
      </c>
      <c r="E60" s="11" t="s">
        <v>167</v>
      </c>
      <c r="F60" s="11" t="s">
        <v>52</v>
      </c>
      <c r="G60" s="13" t="n">
        <v>4542</v>
      </c>
      <c r="H60" s="14" t="n">
        <v>107.436</v>
      </c>
      <c r="I60" s="14" t="n">
        <v>107.715</v>
      </c>
    </row>
    <row r="61" customFormat="false" ht="15" hidden="false" customHeight="false" outlineLevel="0" collapsed="false">
      <c r="A61" s="11" t="s">
        <v>168</v>
      </c>
      <c r="B61" s="12" t="n">
        <v>46293</v>
      </c>
      <c r="C61" s="11" t="s">
        <v>46</v>
      </c>
      <c r="D61" s="11" t="s">
        <v>25</v>
      </c>
      <c r="E61" s="11" t="s">
        <v>169</v>
      </c>
      <c r="F61" s="11" t="s">
        <v>48</v>
      </c>
      <c r="G61" s="13" t="n">
        <v>3683</v>
      </c>
      <c r="H61" s="14" t="n">
        <v>104.032</v>
      </c>
      <c r="I61" s="14" t="n">
        <v>103.934</v>
      </c>
    </row>
    <row r="62" customFormat="false" ht="15" hidden="false" customHeight="false" outlineLevel="0" collapsed="false">
      <c r="A62" s="11" t="s">
        <v>170</v>
      </c>
      <c r="B62" s="12" t="n">
        <v>46293</v>
      </c>
      <c r="C62" s="11" t="s">
        <v>46</v>
      </c>
      <c r="D62" s="11" t="s">
        <v>25</v>
      </c>
      <c r="E62" s="11" t="s">
        <v>171</v>
      </c>
      <c r="F62" s="11" t="s">
        <v>48</v>
      </c>
      <c r="G62" s="13" t="n">
        <v>9998</v>
      </c>
      <c r="H62" s="14" t="n">
        <v>104.253</v>
      </c>
      <c r="I62" s="14" t="n">
        <v>104.617</v>
      </c>
    </row>
    <row r="63" customFormat="false" ht="15" hidden="false" customHeight="false" outlineLevel="0" collapsed="false">
      <c r="A63" s="11" t="s">
        <v>172</v>
      </c>
      <c r="B63" s="12" t="n">
        <v>46293</v>
      </c>
      <c r="C63" s="11" t="s">
        <v>50</v>
      </c>
      <c r="D63" s="11" t="s">
        <v>25</v>
      </c>
      <c r="E63" s="11" t="s">
        <v>173</v>
      </c>
      <c r="F63" s="11" t="s">
        <v>52</v>
      </c>
      <c r="G63" s="13" t="n">
        <v>2307</v>
      </c>
      <c r="H63" s="14" t="n">
        <v>96.932</v>
      </c>
      <c r="I63" s="14" t="n">
        <v>97</v>
      </c>
    </row>
    <row r="64" customFormat="false" ht="15" hidden="false" customHeight="false" outlineLevel="0" collapsed="false">
      <c r="A64" s="11" t="s">
        <v>174</v>
      </c>
      <c r="B64" s="12" t="n">
        <v>46293</v>
      </c>
      <c r="C64" s="11" t="s">
        <v>60</v>
      </c>
      <c r="D64" s="11" t="s">
        <v>24</v>
      </c>
      <c r="E64" s="11" t="s">
        <v>175</v>
      </c>
      <c r="F64" s="11" t="s">
        <v>56</v>
      </c>
      <c r="G64" s="13" t="n">
        <v>2158</v>
      </c>
      <c r="H64" s="14" t="n">
        <v>38.87</v>
      </c>
      <c r="I64" s="14" t="n">
        <v>38.86</v>
      </c>
    </row>
    <row r="65" customFormat="false" ht="15" hidden="false" customHeight="false" outlineLevel="0" collapsed="false">
      <c r="A65" s="11" t="s">
        <v>176</v>
      </c>
      <c r="B65" s="12" t="n">
        <v>46293</v>
      </c>
      <c r="C65" s="11" t="s">
        <v>96</v>
      </c>
      <c r="D65" s="11" t="s">
        <v>26</v>
      </c>
      <c r="E65" s="11" t="s">
        <v>177</v>
      </c>
      <c r="F65" s="11" t="s">
        <v>52</v>
      </c>
      <c r="G65" s="13" t="n">
        <v>14244</v>
      </c>
      <c r="H65" s="14" t="n">
        <v>99.639</v>
      </c>
      <c r="I65" s="14" t="n">
        <v>99.674</v>
      </c>
    </row>
    <row r="66" customFormat="false" ht="15" hidden="false" customHeight="false" outlineLevel="0" collapsed="false">
      <c r="A66" s="11" t="s">
        <v>178</v>
      </c>
      <c r="B66" s="12" t="n">
        <v>46293</v>
      </c>
      <c r="C66" s="11" t="s">
        <v>43</v>
      </c>
      <c r="D66" s="11" t="s">
        <v>27</v>
      </c>
      <c r="E66" s="11" t="s">
        <v>179</v>
      </c>
      <c r="F66" s="11" t="s">
        <v>41</v>
      </c>
      <c r="G66" s="13" t="n">
        <v>1321127</v>
      </c>
      <c r="H66" s="14" t="n">
        <v>1.39614</v>
      </c>
      <c r="I66" s="14" t="n">
        <v>1.39669</v>
      </c>
    </row>
    <row r="67" customFormat="false" ht="15" hidden="false" customHeight="false" outlineLevel="0" collapsed="false">
      <c r="A67" s="11" t="s">
        <v>180</v>
      </c>
      <c r="B67" s="12" t="n">
        <v>46293</v>
      </c>
      <c r="C67" s="11" t="s">
        <v>39</v>
      </c>
      <c r="D67" s="11" t="s">
        <v>24</v>
      </c>
      <c r="E67" s="11" t="s">
        <v>181</v>
      </c>
      <c r="F67" s="11" t="s">
        <v>41</v>
      </c>
      <c r="G67" s="13" t="n">
        <v>38384</v>
      </c>
      <c r="H67" s="14" t="n">
        <v>36.01</v>
      </c>
      <c r="I67" s="14" t="n">
        <v>36.12</v>
      </c>
    </row>
    <row r="68" customFormat="false" ht="15" hidden="false" customHeight="false" outlineLevel="0" collapsed="false">
      <c r="A68" s="11" t="s">
        <v>182</v>
      </c>
      <c r="B68" s="12" t="n">
        <v>46293</v>
      </c>
      <c r="C68" s="11" t="s">
        <v>39</v>
      </c>
      <c r="D68" s="11" t="s">
        <v>24</v>
      </c>
      <c r="E68" s="11" t="s">
        <v>183</v>
      </c>
      <c r="F68" s="11" t="s">
        <v>41</v>
      </c>
      <c r="G68" s="13" t="n">
        <v>22641</v>
      </c>
      <c r="H68" s="14" t="n">
        <v>47.08</v>
      </c>
      <c r="I68" s="14" t="n">
        <v>47.14</v>
      </c>
    </row>
    <row r="69" customFormat="false" ht="15" hidden="false" customHeight="false" outlineLevel="0" collapsed="false">
      <c r="A69" s="11" t="s">
        <v>184</v>
      </c>
      <c r="B69" s="12" t="n">
        <v>46293</v>
      </c>
      <c r="C69" s="11" t="s">
        <v>43</v>
      </c>
      <c r="D69" s="11" t="s">
        <v>27</v>
      </c>
      <c r="E69" s="11" t="s">
        <v>185</v>
      </c>
      <c r="F69" s="11" t="s">
        <v>41</v>
      </c>
      <c r="G69" s="13" t="n">
        <v>4921871</v>
      </c>
      <c r="H69" s="14" t="n">
        <v>1.17192</v>
      </c>
      <c r="I69" s="14" t="n">
        <v>1.17058</v>
      </c>
    </row>
    <row r="70" customFormat="false" ht="15" hidden="false" customHeight="false" outlineLevel="0" collapsed="false">
      <c r="A70" s="11" t="s">
        <v>186</v>
      </c>
      <c r="B70" s="12" t="n">
        <v>46293</v>
      </c>
      <c r="C70" s="11" t="s">
        <v>39</v>
      </c>
      <c r="D70" s="11" t="s">
        <v>24</v>
      </c>
      <c r="E70" s="11" t="s">
        <v>187</v>
      </c>
      <c r="F70" s="11" t="s">
        <v>41</v>
      </c>
      <c r="G70" s="13" t="n">
        <v>36522</v>
      </c>
      <c r="H70" s="14" t="n">
        <v>138.44</v>
      </c>
      <c r="I70" s="14" t="n">
        <v>136.28</v>
      </c>
    </row>
    <row r="71" customFormat="false" ht="15" hidden="false" customHeight="false" outlineLevel="0" collapsed="false">
      <c r="A71" s="11" t="s">
        <v>188</v>
      </c>
      <c r="B71" s="12" t="n">
        <v>46293</v>
      </c>
      <c r="C71" s="11" t="s">
        <v>60</v>
      </c>
      <c r="D71" s="11" t="s">
        <v>24</v>
      </c>
      <c r="E71" s="11" t="s">
        <v>189</v>
      </c>
      <c r="F71" s="11" t="s">
        <v>56</v>
      </c>
      <c r="G71" s="13" t="n">
        <v>13980</v>
      </c>
      <c r="H71" s="14" t="n">
        <v>94.22</v>
      </c>
      <c r="I71" s="14" t="n">
        <v>93.88</v>
      </c>
    </row>
    <row r="72" customFormat="false" ht="15" hidden="false" customHeight="false" outlineLevel="0" collapsed="false">
      <c r="A72" s="11" t="s">
        <v>190</v>
      </c>
      <c r="B72" s="12" t="n">
        <v>46293</v>
      </c>
      <c r="C72" s="11" t="s">
        <v>60</v>
      </c>
      <c r="D72" s="11" t="s">
        <v>24</v>
      </c>
      <c r="E72" s="11" t="s">
        <v>191</v>
      </c>
      <c r="F72" s="11" t="s">
        <v>56</v>
      </c>
      <c r="G72" s="13" t="n">
        <v>17189</v>
      </c>
      <c r="H72" s="14" t="n">
        <v>137.38</v>
      </c>
      <c r="I72" s="14" t="n">
        <v>138.11</v>
      </c>
    </row>
    <row r="73" customFormat="false" ht="15" hidden="false" customHeight="false" outlineLevel="0" collapsed="false">
      <c r="A73" s="11" t="s">
        <v>192</v>
      </c>
      <c r="B73" s="12" t="n">
        <v>46293</v>
      </c>
      <c r="C73" s="11" t="s">
        <v>43</v>
      </c>
      <c r="D73" s="11" t="s">
        <v>27</v>
      </c>
      <c r="E73" s="11" t="s">
        <v>193</v>
      </c>
      <c r="F73" s="11" t="s">
        <v>41</v>
      </c>
      <c r="G73" s="13" t="n">
        <v>3434331</v>
      </c>
      <c r="H73" s="14" t="n">
        <v>1.22326</v>
      </c>
      <c r="I73" s="14" t="n">
        <v>1.2234</v>
      </c>
    </row>
    <row r="74" customFormat="false" ht="15" hidden="false" customHeight="false" outlineLevel="0" collapsed="false">
      <c r="A74" s="11" t="s">
        <v>194</v>
      </c>
      <c r="B74" s="12" t="n">
        <v>46293</v>
      </c>
      <c r="C74" s="11" t="s">
        <v>39</v>
      </c>
      <c r="D74" s="11" t="s">
        <v>195</v>
      </c>
      <c r="E74" s="11" t="s">
        <v>196</v>
      </c>
      <c r="F74" s="11" t="s">
        <v>41</v>
      </c>
      <c r="G74" s="13" t="n">
        <v>10465</v>
      </c>
      <c r="H74" s="14" t="n">
        <v>235.21</v>
      </c>
      <c r="I74" s="14" t="n">
        <v>235.74</v>
      </c>
    </row>
    <row r="75" customFormat="false" ht="15" hidden="false" customHeight="false" outlineLevel="0" collapsed="false">
      <c r="A75" s="11" t="s">
        <v>197</v>
      </c>
      <c r="B75" s="12" t="n">
        <v>46293</v>
      </c>
      <c r="C75" s="11" t="s">
        <v>60</v>
      </c>
      <c r="D75" s="11" t="s">
        <v>24</v>
      </c>
      <c r="E75" s="11" t="s">
        <v>198</v>
      </c>
      <c r="F75" s="11" t="s">
        <v>56</v>
      </c>
      <c r="G75" s="13" t="n">
        <v>37434</v>
      </c>
      <c r="H75" s="14" t="n">
        <v>209.06</v>
      </c>
      <c r="I75" s="14" t="n">
        <v>209.01</v>
      </c>
    </row>
    <row r="76" customFormat="false" ht="15" hidden="false" customHeight="false" outlineLevel="0" collapsed="false">
      <c r="A76" s="11" t="s">
        <v>199</v>
      </c>
      <c r="B76" s="12" t="n">
        <v>46293</v>
      </c>
      <c r="C76" s="11" t="s">
        <v>39</v>
      </c>
      <c r="D76" s="11" t="s">
        <v>24</v>
      </c>
      <c r="E76" s="11" t="s">
        <v>200</v>
      </c>
      <c r="F76" s="11" t="s">
        <v>41</v>
      </c>
      <c r="G76" s="13" t="n">
        <v>32116</v>
      </c>
      <c r="H76" s="14" t="n">
        <v>77.01</v>
      </c>
      <c r="I76" s="14" t="n">
        <v>75.66</v>
      </c>
    </row>
    <row r="77" customFormat="false" ht="15" hidden="false" customHeight="false" outlineLevel="0" collapsed="false">
      <c r="A77" s="11" t="s">
        <v>201</v>
      </c>
      <c r="B77" s="12" t="n">
        <v>46293</v>
      </c>
      <c r="C77" s="11" t="s">
        <v>39</v>
      </c>
      <c r="D77" s="11" t="s">
        <v>24</v>
      </c>
      <c r="E77" s="11" t="s">
        <v>202</v>
      </c>
      <c r="F77" s="11" t="s">
        <v>41</v>
      </c>
      <c r="G77" s="13" t="n">
        <v>44020</v>
      </c>
      <c r="H77" s="14" t="n">
        <v>119.48</v>
      </c>
      <c r="I77" s="14" t="n">
        <v>119.15</v>
      </c>
    </row>
    <row r="78" customFormat="false" ht="15" hidden="false" customHeight="false" outlineLevel="0" collapsed="false">
      <c r="A78" s="11" t="s">
        <v>203</v>
      </c>
      <c r="B78" s="12" t="n">
        <v>46293</v>
      </c>
      <c r="C78" s="11" t="s">
        <v>46</v>
      </c>
      <c r="D78" s="11" t="s">
        <v>25</v>
      </c>
      <c r="E78" s="11" t="s">
        <v>204</v>
      </c>
      <c r="F78" s="11" t="s">
        <v>48</v>
      </c>
      <c r="G78" s="13" t="n">
        <v>9742</v>
      </c>
      <c r="H78" s="14" t="n">
        <v>104.836</v>
      </c>
      <c r="I78" s="14" t="n">
        <v>104.523</v>
      </c>
    </row>
    <row r="79" customFormat="false" ht="15" hidden="false" customHeight="false" outlineLevel="0" collapsed="false">
      <c r="A79" s="11" t="s">
        <v>205</v>
      </c>
      <c r="B79" s="12" t="n">
        <v>46293</v>
      </c>
      <c r="C79" s="11" t="s">
        <v>43</v>
      </c>
      <c r="D79" s="11" t="s">
        <v>27</v>
      </c>
      <c r="E79" s="11" t="s">
        <v>206</v>
      </c>
      <c r="F79" s="11" t="s">
        <v>41</v>
      </c>
      <c r="G79" s="13" t="n">
        <v>1159030</v>
      </c>
      <c r="H79" s="14" t="n">
        <v>1.56482</v>
      </c>
      <c r="I79" s="14" t="n">
        <v>1.56856</v>
      </c>
    </row>
    <row r="80" customFormat="false" ht="15" hidden="false" customHeight="false" outlineLevel="0" collapsed="false">
      <c r="A80" s="11" t="s">
        <v>207</v>
      </c>
      <c r="B80" s="12" t="n">
        <v>46293</v>
      </c>
      <c r="C80" s="11" t="s">
        <v>39</v>
      </c>
      <c r="D80" s="11" t="s">
        <v>24</v>
      </c>
      <c r="E80" s="11" t="s">
        <v>208</v>
      </c>
      <c r="F80" s="11" t="s">
        <v>41</v>
      </c>
      <c r="G80" s="13" t="n">
        <v>6281</v>
      </c>
      <c r="H80" s="14" t="n">
        <v>88.04</v>
      </c>
      <c r="I80" s="14" t="n">
        <v>88.49</v>
      </c>
    </row>
    <row r="81" customFormat="false" ht="15" hidden="false" customHeight="false" outlineLevel="0" collapsed="false">
      <c r="A81" s="11" t="s">
        <v>209</v>
      </c>
      <c r="B81" s="12" t="n">
        <v>46293</v>
      </c>
      <c r="C81" s="11" t="s">
        <v>54</v>
      </c>
      <c r="D81" s="11" t="s">
        <v>27</v>
      </c>
      <c r="E81" s="11" t="s">
        <v>210</v>
      </c>
      <c r="F81" s="11" t="s">
        <v>56</v>
      </c>
      <c r="G81" s="13" t="n">
        <v>1984925</v>
      </c>
      <c r="H81" s="14" t="n">
        <v>0.91075</v>
      </c>
      <c r="I81" s="14" t="n">
        <v>0.90936</v>
      </c>
    </row>
    <row r="82" customFormat="false" ht="15" hidden="false" customHeight="false" outlineLevel="0" collapsed="false">
      <c r="A82" s="11" t="s">
        <v>211</v>
      </c>
      <c r="B82" s="12" t="n">
        <v>46293</v>
      </c>
      <c r="C82" s="11" t="s">
        <v>46</v>
      </c>
      <c r="D82" s="11" t="s">
        <v>25</v>
      </c>
      <c r="E82" s="11" t="s">
        <v>212</v>
      </c>
      <c r="F82" s="11" t="s">
        <v>48</v>
      </c>
      <c r="G82" s="13" t="n">
        <v>18675</v>
      </c>
      <c r="H82" s="14" t="n">
        <v>92.31</v>
      </c>
      <c r="I82" s="14"/>
    </row>
    <row r="83" customFormat="false" ht="15" hidden="false" customHeight="false" outlineLevel="0" collapsed="false">
      <c r="A83" s="11" t="s">
        <v>213</v>
      </c>
      <c r="B83" s="12" t="n">
        <v>46293</v>
      </c>
      <c r="C83" s="11" t="s">
        <v>54</v>
      </c>
      <c r="D83" s="11" t="s">
        <v>27</v>
      </c>
      <c r="E83" s="11" t="s">
        <v>214</v>
      </c>
      <c r="F83" s="11" t="s">
        <v>56</v>
      </c>
      <c r="G83" s="13" t="n">
        <v>4363433</v>
      </c>
      <c r="H83" s="14" t="n">
        <v>1.05679</v>
      </c>
      <c r="I83" s="14" t="n">
        <v>1.05616</v>
      </c>
    </row>
    <row r="84" customFormat="false" ht="15" hidden="false" customHeight="false" outlineLevel="0" collapsed="false">
      <c r="A84" s="11" t="s">
        <v>215</v>
      </c>
      <c r="B84" s="12" t="n">
        <v>46293</v>
      </c>
      <c r="C84" s="11" t="s">
        <v>50</v>
      </c>
      <c r="D84" s="11" t="s">
        <v>25</v>
      </c>
      <c r="E84" s="11" t="s">
        <v>216</v>
      </c>
      <c r="F84" s="11" t="s">
        <v>52</v>
      </c>
      <c r="G84" s="13" t="n">
        <v>4492</v>
      </c>
      <c r="H84" s="14" t="n">
        <v>106.283</v>
      </c>
      <c r="I84" s="14" t="n">
        <v>106.105</v>
      </c>
    </row>
    <row r="85" customFormat="false" ht="15" hidden="false" customHeight="false" outlineLevel="0" collapsed="false">
      <c r="A85" s="11" t="s">
        <v>217</v>
      </c>
      <c r="B85" s="12" t="n">
        <v>46293</v>
      </c>
      <c r="C85" s="11" t="s">
        <v>43</v>
      </c>
      <c r="D85" s="11" t="s">
        <v>27</v>
      </c>
      <c r="E85" s="11" t="s">
        <v>218</v>
      </c>
      <c r="F85" s="11" t="s">
        <v>41</v>
      </c>
      <c r="G85" s="13" t="n">
        <v>1375951</v>
      </c>
      <c r="H85" s="14" t="n">
        <v>0.98608</v>
      </c>
      <c r="I85" s="14" t="n">
        <v>0.9875</v>
      </c>
    </row>
    <row r="86" customFormat="false" ht="15" hidden="false" customHeight="false" outlineLevel="0" collapsed="false">
      <c r="A86" s="11" t="s">
        <v>219</v>
      </c>
      <c r="B86" s="12" t="n">
        <v>46293</v>
      </c>
      <c r="C86" s="11" t="s">
        <v>60</v>
      </c>
      <c r="D86" s="11" t="s">
        <v>24</v>
      </c>
      <c r="E86" s="11" t="s">
        <v>220</v>
      </c>
      <c r="F86" s="11" t="s">
        <v>56</v>
      </c>
      <c r="G86" s="13" t="n">
        <v>35527</v>
      </c>
      <c r="H86" s="14" t="n">
        <v>34.16</v>
      </c>
      <c r="I86" s="14" t="n">
        <v>34.21</v>
      </c>
    </row>
    <row r="87" customFormat="false" ht="15" hidden="false" customHeight="false" outlineLevel="0" collapsed="false">
      <c r="A87" s="11" t="s">
        <v>221</v>
      </c>
      <c r="B87" s="12" t="n">
        <v>46293</v>
      </c>
      <c r="C87" s="11" t="s">
        <v>96</v>
      </c>
      <c r="D87" s="11" t="s">
        <v>26</v>
      </c>
      <c r="E87" s="11" t="s">
        <v>222</v>
      </c>
      <c r="F87" s="11" t="s">
        <v>52</v>
      </c>
      <c r="G87" s="13" t="n">
        <v>18096</v>
      </c>
      <c r="H87" s="14" t="n">
        <v>99.484</v>
      </c>
      <c r="I87" s="14" t="n">
        <v>99.518</v>
      </c>
    </row>
    <row r="88" customFormat="false" ht="15" hidden="false" customHeight="false" outlineLevel="0" collapsed="false">
      <c r="A88" s="11" t="s">
        <v>223</v>
      </c>
      <c r="B88" s="12" t="n">
        <v>46293</v>
      </c>
      <c r="C88" s="11" t="s">
        <v>77</v>
      </c>
      <c r="D88" s="11" t="s">
        <v>26</v>
      </c>
      <c r="E88" s="11" t="s">
        <v>224</v>
      </c>
      <c r="F88" s="11" t="s">
        <v>48</v>
      </c>
      <c r="G88" s="13" t="n">
        <v>14637</v>
      </c>
      <c r="H88" s="14" t="n">
        <v>96.681</v>
      </c>
      <c r="I88" s="14" t="n">
        <v>96.68</v>
      </c>
    </row>
    <row r="89" customFormat="false" ht="15" hidden="false" customHeight="false" outlineLevel="0" collapsed="false">
      <c r="A89" s="11" t="s">
        <v>225</v>
      </c>
      <c r="B89" s="12" t="n">
        <v>46293</v>
      </c>
      <c r="C89" s="11" t="s">
        <v>43</v>
      </c>
      <c r="D89" s="11" t="s">
        <v>27</v>
      </c>
      <c r="E89" s="11" t="s">
        <v>226</v>
      </c>
      <c r="F89" s="11" t="s">
        <v>41</v>
      </c>
      <c r="G89" s="13" t="n">
        <v>485800</v>
      </c>
      <c r="H89" s="14" t="n">
        <v>1.50342</v>
      </c>
      <c r="I89" s="14" t="n">
        <v>1.50442</v>
      </c>
    </row>
    <row r="90" customFormat="false" ht="15" hidden="false" customHeight="false" outlineLevel="0" collapsed="false">
      <c r="A90" s="11" t="s">
        <v>227</v>
      </c>
      <c r="B90" s="12" t="n">
        <v>46293</v>
      </c>
      <c r="C90" s="11" t="s">
        <v>50</v>
      </c>
      <c r="D90" s="11" t="s">
        <v>25</v>
      </c>
      <c r="E90" s="11" t="s">
        <v>228</v>
      </c>
      <c r="F90" s="11" t="s">
        <v>52</v>
      </c>
      <c r="G90" s="13" t="n">
        <v>15239</v>
      </c>
      <c r="H90" s="14" t="n">
        <v>101.289</v>
      </c>
      <c r="I90" s="14" t="n">
        <v>101.219</v>
      </c>
    </row>
    <row r="91" customFormat="false" ht="15" hidden="false" customHeight="false" outlineLevel="0" collapsed="false">
      <c r="A91" s="11" t="s">
        <v>229</v>
      </c>
      <c r="B91" s="12" t="n">
        <v>46293</v>
      </c>
      <c r="C91" s="11" t="s">
        <v>60</v>
      </c>
      <c r="D91" s="11" t="s">
        <v>24</v>
      </c>
      <c r="E91" s="11" t="s">
        <v>230</v>
      </c>
      <c r="F91" s="11" t="s">
        <v>56</v>
      </c>
      <c r="G91" s="13" t="n">
        <v>15347</v>
      </c>
      <c r="H91" s="14" t="n">
        <v>185.34</v>
      </c>
      <c r="I91" s="14" t="n">
        <v>184.94</v>
      </c>
    </row>
    <row r="92" customFormat="false" ht="15" hidden="false" customHeight="false" outlineLevel="0" collapsed="false">
      <c r="A92" s="11" t="s">
        <v>231</v>
      </c>
      <c r="B92" s="12" t="n">
        <v>46293</v>
      </c>
      <c r="C92" s="11" t="s">
        <v>60</v>
      </c>
      <c r="D92" s="11" t="s">
        <v>232</v>
      </c>
      <c r="E92" s="11" t="s">
        <v>233</v>
      </c>
      <c r="F92" s="11" t="s">
        <v>56</v>
      </c>
      <c r="G92" s="13" t="n">
        <v>38655</v>
      </c>
      <c r="H92" s="14" t="n">
        <v>114.66</v>
      </c>
      <c r="I92" s="14" t="n">
        <v>114.69</v>
      </c>
    </row>
    <row r="93" customFormat="false" ht="15" hidden="false" customHeight="false" outlineLevel="0" collapsed="false">
      <c r="A93" s="11" t="s">
        <v>234</v>
      </c>
      <c r="B93" s="12" t="n">
        <v>46293</v>
      </c>
      <c r="C93" s="11" t="s">
        <v>50</v>
      </c>
      <c r="D93" s="11" t="s">
        <v>25</v>
      </c>
      <c r="E93" s="11" t="s">
        <v>235</v>
      </c>
      <c r="F93" s="11" t="s">
        <v>52</v>
      </c>
      <c r="G93" s="13" t="n">
        <v>15923</v>
      </c>
      <c r="H93" s="14" t="n">
        <v>107.743</v>
      </c>
      <c r="I93" s="14" t="n">
        <v>106.166</v>
      </c>
    </row>
    <row r="94" customFormat="false" ht="15" hidden="false" customHeight="false" outlineLevel="0" collapsed="false">
      <c r="A94" s="11" t="s">
        <v>236</v>
      </c>
      <c r="B94" s="12" t="n">
        <v>46293</v>
      </c>
      <c r="C94" s="11" t="s">
        <v>39</v>
      </c>
      <c r="D94" s="11" t="s">
        <v>24</v>
      </c>
      <c r="E94" s="11" t="s">
        <v>237</v>
      </c>
      <c r="F94" s="11" t="s">
        <v>41</v>
      </c>
      <c r="G94" s="13" t="n">
        <v>7073</v>
      </c>
      <c r="H94" s="14" t="n">
        <v>292.13</v>
      </c>
      <c r="I94" s="14" t="n">
        <v>292</v>
      </c>
    </row>
    <row r="95" customFormat="false" ht="15" hidden="false" customHeight="false" outlineLevel="0" collapsed="false">
      <c r="A95" s="11" t="s">
        <v>238</v>
      </c>
      <c r="B95" s="12" t="n">
        <v>46293</v>
      </c>
      <c r="C95" s="11" t="s">
        <v>60</v>
      </c>
      <c r="D95" s="11" t="s">
        <v>24</v>
      </c>
      <c r="E95" s="11" t="s">
        <v>239</v>
      </c>
      <c r="F95" s="11" t="s">
        <v>56</v>
      </c>
      <c r="G95" s="13" t="n">
        <v>37523</v>
      </c>
      <c r="H95" s="14" t="n">
        <v>222.54</v>
      </c>
      <c r="I95" s="14" t="n">
        <v>220.9</v>
      </c>
    </row>
    <row r="96" customFormat="false" ht="15" hidden="false" customHeight="false" outlineLevel="0" collapsed="false">
      <c r="A96" s="11" t="s">
        <v>240</v>
      </c>
      <c r="B96" s="12" t="n">
        <v>46293</v>
      </c>
      <c r="C96" s="11" t="s">
        <v>60</v>
      </c>
      <c r="D96" s="11" t="s">
        <v>24</v>
      </c>
      <c r="E96" s="11" t="s">
        <v>241</v>
      </c>
      <c r="F96" s="11" t="s">
        <v>56</v>
      </c>
      <c r="G96" s="13" t="n">
        <v>35841</v>
      </c>
      <c r="H96" s="14" t="n">
        <v>209.48</v>
      </c>
      <c r="I96" s="14" t="n">
        <v>208.75</v>
      </c>
    </row>
    <row r="97" customFormat="false" ht="15" hidden="false" customHeight="false" outlineLevel="0" collapsed="false">
      <c r="A97" s="11" t="s">
        <v>242</v>
      </c>
      <c r="B97" s="12" t="n">
        <v>46293</v>
      </c>
      <c r="C97" s="11" t="s">
        <v>54</v>
      </c>
      <c r="D97" s="11" t="s">
        <v>243</v>
      </c>
      <c r="E97" s="11" t="s">
        <v>244</v>
      </c>
      <c r="F97" s="11" t="s">
        <v>56</v>
      </c>
      <c r="G97" s="13" t="n">
        <v>3287749</v>
      </c>
      <c r="H97" s="14" t="n">
        <v>1.45177</v>
      </c>
      <c r="I97" s="14" t="n">
        <v>1.44919</v>
      </c>
    </row>
    <row r="98" customFormat="false" ht="15" hidden="false" customHeight="false" outlineLevel="0" collapsed="false">
      <c r="A98" s="11" t="s">
        <v>245</v>
      </c>
      <c r="B98" s="12" t="n">
        <v>46293</v>
      </c>
      <c r="C98" s="11" t="s">
        <v>77</v>
      </c>
      <c r="D98" s="11" t="s">
        <v>26</v>
      </c>
      <c r="E98" s="11" t="s">
        <v>246</v>
      </c>
      <c r="F98" s="11" t="s">
        <v>48</v>
      </c>
      <c r="G98" s="13" t="n">
        <v>17112</v>
      </c>
      <c r="H98" s="14" t="n">
        <v>97.452</v>
      </c>
      <c r="I98" s="14" t="n">
        <v>97.571</v>
      </c>
    </row>
    <row r="99" customFormat="false" ht="15" hidden="false" customHeight="false" outlineLevel="0" collapsed="false">
      <c r="A99" s="11" t="s">
        <v>247</v>
      </c>
      <c r="B99" s="12" t="n">
        <v>46293</v>
      </c>
      <c r="C99" s="11" t="s">
        <v>50</v>
      </c>
      <c r="D99" s="11" t="s">
        <v>25</v>
      </c>
      <c r="E99" s="11" t="s">
        <v>248</v>
      </c>
      <c r="F99" s="11" t="s">
        <v>52</v>
      </c>
      <c r="G99" s="13" t="n">
        <v>5176</v>
      </c>
      <c r="H99" s="14" t="n">
        <v>105.354</v>
      </c>
      <c r="I99" s="14" t="n">
        <v>105.484</v>
      </c>
    </row>
    <row r="100" customFormat="false" ht="15" hidden="false" customHeight="false" outlineLevel="0" collapsed="false">
      <c r="A100" s="11" t="s">
        <v>249</v>
      </c>
      <c r="B100" s="12" t="n">
        <v>46293</v>
      </c>
      <c r="C100" s="11" t="s">
        <v>39</v>
      </c>
      <c r="D100" s="11" t="s">
        <v>24</v>
      </c>
      <c r="E100" s="11" t="s">
        <v>250</v>
      </c>
      <c r="F100" s="11" t="s">
        <v>41</v>
      </c>
      <c r="G100" s="13" t="n">
        <v>41713</v>
      </c>
      <c r="H100" s="14" t="n">
        <v>216.51</v>
      </c>
      <c r="I100" s="14" t="n">
        <v>216.68</v>
      </c>
    </row>
    <row r="101" customFormat="false" ht="15" hidden="false" customHeight="false" outlineLevel="0" collapsed="false">
      <c r="A101" s="11" t="s">
        <v>251</v>
      </c>
      <c r="B101" s="12" t="n">
        <v>46293</v>
      </c>
      <c r="C101" s="11" t="s">
        <v>60</v>
      </c>
      <c r="D101" s="11" t="s">
        <v>24</v>
      </c>
      <c r="E101" s="11" t="s">
        <v>252</v>
      </c>
      <c r="F101" s="11" t="s">
        <v>56</v>
      </c>
      <c r="G101" s="13" t="n">
        <v>28177</v>
      </c>
      <c r="H101" s="14" t="n">
        <v>228.6</v>
      </c>
      <c r="I101" s="14" t="n">
        <v>230.45</v>
      </c>
    </row>
    <row r="102" customFormat="false" ht="15" hidden="false" customHeight="false" outlineLevel="0" collapsed="false">
      <c r="A102" s="11" t="s">
        <v>253</v>
      </c>
      <c r="B102" s="12" t="n">
        <v>46293</v>
      </c>
      <c r="C102" s="11" t="s">
        <v>60</v>
      </c>
      <c r="D102" s="11" t="s">
        <v>24</v>
      </c>
      <c r="E102" s="11" t="s">
        <v>254</v>
      </c>
      <c r="F102" s="11" t="s">
        <v>56</v>
      </c>
      <c r="G102" s="13" t="n">
        <v>34857</v>
      </c>
      <c r="H102" s="14" t="n">
        <v>62.79</v>
      </c>
      <c r="I102" s="14" t="n">
        <v>62.76</v>
      </c>
    </row>
    <row r="103" customFormat="false" ht="15" hidden="false" customHeight="false" outlineLevel="0" collapsed="false">
      <c r="A103" s="11" t="s">
        <v>255</v>
      </c>
      <c r="B103" s="12" t="n">
        <v>46293</v>
      </c>
      <c r="C103" s="11" t="s">
        <v>43</v>
      </c>
      <c r="D103" s="11" t="s">
        <v>27</v>
      </c>
      <c r="E103" s="11" t="s">
        <v>256</v>
      </c>
      <c r="F103" s="11" t="s">
        <v>41</v>
      </c>
      <c r="G103" s="13" t="n">
        <v>2323172</v>
      </c>
      <c r="H103" s="14" t="n">
        <v>1.47093</v>
      </c>
      <c r="I103" s="14" t="n">
        <v>1.47008</v>
      </c>
    </row>
    <row r="104" customFormat="false" ht="15" hidden="false" customHeight="false" outlineLevel="0" collapsed="false">
      <c r="A104" s="11" t="s">
        <v>257</v>
      </c>
      <c r="B104" s="12" t="n">
        <v>46293</v>
      </c>
      <c r="C104" s="11" t="s">
        <v>54</v>
      </c>
      <c r="D104" s="11" t="s">
        <v>27</v>
      </c>
      <c r="E104" s="11" t="s">
        <v>258</v>
      </c>
      <c r="F104" s="11" t="s">
        <v>56</v>
      </c>
      <c r="G104" s="13" t="n">
        <v>4067612</v>
      </c>
      <c r="H104" s="14" t="n">
        <v>0.91818</v>
      </c>
      <c r="I104" s="14" t="n">
        <v>0.91683</v>
      </c>
    </row>
    <row r="105" customFormat="false" ht="15" hidden="false" customHeight="false" outlineLevel="0" collapsed="false">
      <c r="A105" s="11" t="s">
        <v>259</v>
      </c>
      <c r="B105" s="12" t="n">
        <v>46293</v>
      </c>
      <c r="C105" s="11" t="s">
        <v>77</v>
      </c>
      <c r="D105" s="11" t="s">
        <v>26</v>
      </c>
      <c r="E105" s="11" t="s">
        <v>260</v>
      </c>
      <c r="F105" s="11" t="s">
        <v>48</v>
      </c>
      <c r="G105" s="13" t="n">
        <v>16064</v>
      </c>
      <c r="H105" s="14" t="n">
        <v>96.844</v>
      </c>
      <c r="I105" s="14" t="n">
        <v>96.711</v>
      </c>
    </row>
    <row r="106" customFormat="false" ht="15" hidden="false" customHeight="false" outlineLevel="0" collapsed="false">
      <c r="A106" s="11" t="s">
        <v>261</v>
      </c>
      <c r="B106" s="12" t="n">
        <v>46293</v>
      </c>
      <c r="C106" s="11" t="s">
        <v>77</v>
      </c>
      <c r="D106" s="11" t="s">
        <v>26</v>
      </c>
      <c r="E106" s="11" t="s">
        <v>262</v>
      </c>
      <c r="F106" s="11" t="s">
        <v>48</v>
      </c>
      <c r="G106" s="13" t="n">
        <v>19035</v>
      </c>
      <c r="H106" s="14" t="n">
        <v>100.428</v>
      </c>
      <c r="I106" s="14" t="n">
        <v>100.617</v>
      </c>
    </row>
    <row r="107" customFormat="false" ht="15" hidden="false" customHeight="false" outlineLevel="0" collapsed="false">
      <c r="A107" s="11" t="s">
        <v>263</v>
      </c>
      <c r="B107" s="12" t="n">
        <v>46293</v>
      </c>
      <c r="C107" s="11" t="s">
        <v>60</v>
      </c>
      <c r="D107" s="11" t="s">
        <v>24</v>
      </c>
      <c r="E107" s="11" t="s">
        <v>264</v>
      </c>
      <c r="F107" s="11" t="s">
        <v>56</v>
      </c>
      <c r="G107" s="13" t="n">
        <v>48365</v>
      </c>
      <c r="H107" s="14" t="n">
        <v>27</v>
      </c>
      <c r="I107" s="14" t="n">
        <v>27.02</v>
      </c>
    </row>
    <row r="108" customFormat="false" ht="15" hidden="false" customHeight="false" outlineLevel="0" collapsed="false">
      <c r="A108" s="11" t="s">
        <v>265</v>
      </c>
      <c r="B108" s="12" t="n">
        <v>46293</v>
      </c>
      <c r="C108" s="11" t="s">
        <v>60</v>
      </c>
      <c r="D108" s="11" t="s">
        <v>24</v>
      </c>
      <c r="E108" s="11" t="s">
        <v>266</v>
      </c>
      <c r="F108" s="11" t="s">
        <v>56</v>
      </c>
      <c r="G108" s="13" t="n">
        <v>10287</v>
      </c>
      <c r="H108" s="14" t="n">
        <v>94.05</v>
      </c>
      <c r="I108" s="14" t="n">
        <v>96.64</v>
      </c>
    </row>
    <row r="109" customFormat="false" ht="15" hidden="false" customHeight="false" outlineLevel="0" collapsed="false">
      <c r="A109" s="11" t="s">
        <v>267</v>
      </c>
      <c r="B109" s="12" t="n">
        <v>46293</v>
      </c>
      <c r="C109" s="11" t="s">
        <v>46</v>
      </c>
      <c r="D109" s="11" t="s">
        <v>25</v>
      </c>
      <c r="E109" s="11" t="s">
        <v>268</v>
      </c>
      <c r="F109" s="11" t="s">
        <v>48</v>
      </c>
      <c r="G109" s="13" t="n">
        <v>16554</v>
      </c>
      <c r="H109" s="14" t="n">
        <v>105.289</v>
      </c>
      <c r="I109" s="14" t="n">
        <v>105.828</v>
      </c>
    </row>
    <row r="110" customFormat="false" ht="15" hidden="false" customHeight="false" outlineLevel="0" collapsed="false">
      <c r="A110" s="11" t="s">
        <v>269</v>
      </c>
      <c r="B110" s="12" t="n">
        <v>46293</v>
      </c>
      <c r="C110" s="11" t="s">
        <v>60</v>
      </c>
      <c r="D110" s="11" t="s">
        <v>24</v>
      </c>
      <c r="E110" s="11" t="s">
        <v>270</v>
      </c>
      <c r="F110" s="11" t="s">
        <v>56</v>
      </c>
      <c r="G110" s="13" t="n">
        <v>4437</v>
      </c>
      <c r="H110" s="14" t="n">
        <v>250.1</v>
      </c>
      <c r="I110" s="14" t="n">
        <v>249.67</v>
      </c>
    </row>
    <row r="111" customFormat="false" ht="15" hidden="false" customHeight="false" outlineLevel="0" collapsed="false">
      <c r="A111" s="11" t="s">
        <v>271</v>
      </c>
      <c r="B111" s="12" t="n">
        <v>46293</v>
      </c>
      <c r="C111" s="11" t="s">
        <v>96</v>
      </c>
      <c r="D111" s="11" t="s">
        <v>26</v>
      </c>
      <c r="E111" s="11" t="s">
        <v>272</v>
      </c>
      <c r="F111" s="11" t="s">
        <v>52</v>
      </c>
      <c r="G111" s="13" t="n">
        <v>19443</v>
      </c>
      <c r="H111" s="14" t="n">
        <v>97.194</v>
      </c>
      <c r="I111" s="14" t="n">
        <v>96.72</v>
      </c>
    </row>
    <row r="112" customFormat="false" ht="15" hidden="false" customHeight="false" outlineLevel="0" collapsed="false">
      <c r="A112" s="11" t="s">
        <v>273</v>
      </c>
      <c r="B112" s="12" t="n">
        <v>46293</v>
      </c>
      <c r="C112" s="11" t="s">
        <v>77</v>
      </c>
      <c r="D112" s="11" t="s">
        <v>274</v>
      </c>
      <c r="E112" s="11" t="s">
        <v>275</v>
      </c>
      <c r="F112" s="11" t="s">
        <v>48</v>
      </c>
      <c r="G112" s="13" t="n">
        <v>9668</v>
      </c>
      <c r="H112" s="14" t="n">
        <v>101.624</v>
      </c>
      <c r="I112" s="14" t="n">
        <v>101.773</v>
      </c>
    </row>
    <row r="113" customFormat="false" ht="15" hidden="false" customHeight="false" outlineLevel="0" collapsed="false">
      <c r="A113" s="11" t="s">
        <v>276</v>
      </c>
      <c r="B113" s="12" t="n">
        <v>46293</v>
      </c>
      <c r="C113" s="11" t="s">
        <v>96</v>
      </c>
      <c r="D113" s="11" t="s">
        <v>26</v>
      </c>
      <c r="E113" s="11" t="s">
        <v>277</v>
      </c>
      <c r="F113" s="11" t="s">
        <v>52</v>
      </c>
      <c r="G113" s="13" t="n">
        <v>16398</v>
      </c>
      <c r="H113" s="14" t="n">
        <v>97.252</v>
      </c>
      <c r="I113" s="14" t="n">
        <v>97.377</v>
      </c>
    </row>
    <row r="114" customFormat="false" ht="15" hidden="false" customHeight="false" outlineLevel="0" collapsed="false">
      <c r="A114" s="11" t="s">
        <v>278</v>
      </c>
      <c r="B114" s="12" t="n">
        <v>46293</v>
      </c>
      <c r="C114" s="11" t="s">
        <v>50</v>
      </c>
      <c r="D114" s="11" t="s">
        <v>25</v>
      </c>
      <c r="E114" s="11" t="s">
        <v>279</v>
      </c>
      <c r="F114" s="11" t="s">
        <v>52</v>
      </c>
      <c r="G114" s="13" t="n">
        <v>11983</v>
      </c>
      <c r="H114" s="14" t="n">
        <v>96.541</v>
      </c>
      <c r="I114" s="14" t="n">
        <v>97.134</v>
      </c>
    </row>
    <row r="115" customFormat="false" ht="15" hidden="false" customHeight="false" outlineLevel="0" collapsed="false">
      <c r="A115" s="11" t="s">
        <v>280</v>
      </c>
      <c r="B115" s="12" t="n">
        <v>46293</v>
      </c>
      <c r="C115" s="11" t="s">
        <v>43</v>
      </c>
      <c r="D115" s="11" t="s">
        <v>27</v>
      </c>
      <c r="E115" s="11" t="s">
        <v>281</v>
      </c>
      <c r="F115" s="11" t="s">
        <v>41</v>
      </c>
      <c r="G115" s="13" t="n">
        <v>511412</v>
      </c>
      <c r="H115" s="14" t="n">
        <v>0.6081</v>
      </c>
      <c r="I115" s="14" t="n">
        <v>0.60569</v>
      </c>
    </row>
    <row r="116" customFormat="false" ht="15" hidden="false" customHeight="false" outlineLevel="0" collapsed="false">
      <c r="A116" s="11" t="s">
        <v>282</v>
      </c>
      <c r="B116" s="12" t="n">
        <v>46293</v>
      </c>
      <c r="C116" s="11" t="s">
        <v>96</v>
      </c>
      <c r="D116" s="11" t="s">
        <v>26</v>
      </c>
      <c r="E116" s="11" t="s">
        <v>283</v>
      </c>
      <c r="F116" s="11" t="s">
        <v>52</v>
      </c>
      <c r="G116" s="13" t="n">
        <v>3660</v>
      </c>
      <c r="H116" s="14" t="n">
        <v>103.581</v>
      </c>
      <c r="I116" s="14" t="n">
        <v>103.562</v>
      </c>
    </row>
    <row r="117" customFormat="false" ht="15" hidden="false" customHeight="false" outlineLevel="0" collapsed="false">
      <c r="A117" s="11" t="s">
        <v>284</v>
      </c>
      <c r="B117" s="12" t="n">
        <v>46293</v>
      </c>
      <c r="C117" s="11" t="s">
        <v>43</v>
      </c>
      <c r="D117" s="11" t="s">
        <v>27</v>
      </c>
      <c r="E117" s="11" t="s">
        <v>285</v>
      </c>
      <c r="F117" s="11" t="s">
        <v>41</v>
      </c>
      <c r="G117" s="13" t="n">
        <v>2799264</v>
      </c>
      <c r="H117" s="14" t="n">
        <v>1.05534</v>
      </c>
      <c r="I117" s="14" t="n">
        <v>1.05474</v>
      </c>
    </row>
    <row r="118" customFormat="false" ht="15" hidden="false" customHeight="false" outlineLevel="0" collapsed="false">
      <c r="A118" s="11" t="s">
        <v>286</v>
      </c>
      <c r="B118" s="12" t="n">
        <v>46293</v>
      </c>
      <c r="C118" s="11" t="s">
        <v>96</v>
      </c>
      <c r="D118" s="11" t="s">
        <v>26</v>
      </c>
      <c r="E118" s="11" t="s">
        <v>287</v>
      </c>
      <c r="F118" s="11" t="s">
        <v>52</v>
      </c>
      <c r="G118" s="13" t="n">
        <v>13464</v>
      </c>
      <c r="H118" s="14" t="n">
        <v>102.206</v>
      </c>
      <c r="I118" s="14" t="n">
        <v>102.076</v>
      </c>
    </row>
    <row r="119" customFormat="false" ht="15" hidden="false" customHeight="false" outlineLevel="0" collapsed="false">
      <c r="A119" s="11" t="s">
        <v>288</v>
      </c>
      <c r="B119" s="12" t="n">
        <v>46293</v>
      </c>
      <c r="C119" s="11" t="s">
        <v>46</v>
      </c>
      <c r="D119" s="11" t="s">
        <v>25</v>
      </c>
      <c r="E119" s="11" t="s">
        <v>289</v>
      </c>
      <c r="F119" s="11" t="s">
        <v>48</v>
      </c>
      <c r="G119" s="13" t="n">
        <v>14248</v>
      </c>
      <c r="H119" s="14" t="n">
        <v>99.77</v>
      </c>
      <c r="I119" s="14" t="n">
        <v>100.055</v>
      </c>
    </row>
    <row r="120" customFormat="false" ht="15" hidden="false" customHeight="false" outlineLevel="0" collapsed="false">
      <c r="A120" s="11" t="s">
        <v>290</v>
      </c>
      <c r="B120" s="12" t="n">
        <v>46293</v>
      </c>
      <c r="C120" s="11" t="s">
        <v>77</v>
      </c>
      <c r="D120" s="11" t="s">
        <v>26</v>
      </c>
      <c r="E120" s="11" t="s">
        <v>291</v>
      </c>
      <c r="F120" s="11" t="s">
        <v>48</v>
      </c>
      <c r="G120" s="13" t="n">
        <v>10440</v>
      </c>
      <c r="H120" s="14" t="n">
        <v>96.261</v>
      </c>
      <c r="I120" s="14" t="n">
        <v>96.181</v>
      </c>
    </row>
    <row r="121" customFormat="false" ht="15" hidden="false" customHeight="false" outlineLevel="0" collapsed="false">
      <c r="A121" s="11" t="s">
        <v>292</v>
      </c>
      <c r="B121" s="12" t="n">
        <v>46293</v>
      </c>
      <c r="C121" s="11" t="s">
        <v>96</v>
      </c>
      <c r="D121" s="11" t="s">
        <v>26</v>
      </c>
      <c r="E121" s="11" t="s">
        <v>293</v>
      </c>
      <c r="F121" s="11" t="s">
        <v>52</v>
      </c>
      <c r="G121" s="13" t="n">
        <v>19544</v>
      </c>
      <c r="H121" s="14" t="n">
        <v>102.37</v>
      </c>
      <c r="I121" s="14" t="n">
        <v>102.437</v>
      </c>
    </row>
    <row r="122" customFormat="false" ht="15" hidden="false" customHeight="false" outlineLevel="0" collapsed="false">
      <c r="A122" s="11" t="s">
        <v>294</v>
      </c>
      <c r="B122" s="12" t="n">
        <v>46293</v>
      </c>
      <c r="C122" s="11" t="s">
        <v>46</v>
      </c>
      <c r="D122" s="11" t="s">
        <v>25</v>
      </c>
      <c r="E122" s="11" t="s">
        <v>295</v>
      </c>
      <c r="F122" s="11" t="s">
        <v>48</v>
      </c>
      <c r="G122" s="13" t="n">
        <v>4753</v>
      </c>
      <c r="H122" s="14" t="n">
        <v>94.685</v>
      </c>
      <c r="I122" s="14" t="n">
        <v>94.993</v>
      </c>
    </row>
    <row r="123" customFormat="false" ht="15" hidden="false" customHeight="false" outlineLevel="0" collapsed="false">
      <c r="A123" s="11" t="s">
        <v>296</v>
      </c>
      <c r="B123" s="12" t="n">
        <v>46293</v>
      </c>
      <c r="C123" s="11" t="s">
        <v>60</v>
      </c>
      <c r="D123" s="11" t="s">
        <v>24</v>
      </c>
      <c r="E123" s="11" t="s">
        <v>297</v>
      </c>
      <c r="F123" s="11" t="s">
        <v>56</v>
      </c>
      <c r="G123" s="13" t="n">
        <v>16576</v>
      </c>
      <c r="H123" s="14" t="n">
        <v>127.73</v>
      </c>
      <c r="I123" s="14" t="n">
        <v>128.32</v>
      </c>
    </row>
    <row r="124" customFormat="false" ht="15" hidden="false" customHeight="false" outlineLevel="0" collapsed="false">
      <c r="A124" s="11" t="s">
        <v>298</v>
      </c>
      <c r="B124" s="12" t="n">
        <v>46293</v>
      </c>
      <c r="C124" s="11" t="s">
        <v>39</v>
      </c>
      <c r="D124" s="11" t="s">
        <v>24</v>
      </c>
      <c r="E124" s="11" t="s">
        <v>299</v>
      </c>
      <c r="F124" s="11" t="s">
        <v>41</v>
      </c>
      <c r="G124" s="13" t="n">
        <v>10438</v>
      </c>
      <c r="H124" s="14" t="n">
        <v>266.64</v>
      </c>
      <c r="I124" s="14" t="n">
        <v>265.71</v>
      </c>
    </row>
    <row r="125" customFormat="false" ht="15" hidden="false" customHeight="false" outlineLevel="0" collapsed="false">
      <c r="A125" s="11" t="s">
        <v>300</v>
      </c>
      <c r="B125" s="12" t="n">
        <v>46293</v>
      </c>
      <c r="C125" s="11" t="s">
        <v>96</v>
      </c>
      <c r="D125" s="11" t="s">
        <v>26</v>
      </c>
      <c r="E125" s="11" t="s">
        <v>301</v>
      </c>
      <c r="F125" s="11" t="s">
        <v>52</v>
      </c>
      <c r="G125" s="13" t="n">
        <v>8874</v>
      </c>
      <c r="H125" s="14" t="n">
        <v>97.931</v>
      </c>
      <c r="I125" s="14" t="n">
        <v>98.035</v>
      </c>
    </row>
    <row r="126" customFormat="false" ht="15" hidden="false" customHeight="false" outlineLevel="0" collapsed="false">
      <c r="A126" s="11" t="s">
        <v>302</v>
      </c>
      <c r="B126" s="12" t="n">
        <v>46290</v>
      </c>
      <c r="C126" s="11" t="s">
        <v>96</v>
      </c>
      <c r="D126" s="11" t="s">
        <v>26</v>
      </c>
      <c r="E126" s="11" t="s">
        <v>303</v>
      </c>
      <c r="F126" s="11" t="s">
        <v>52</v>
      </c>
      <c r="G126" s="13" t="n">
        <v>2786</v>
      </c>
      <c r="H126" s="14" t="n">
        <v>98.194</v>
      </c>
      <c r="I126" s="14" t="n">
        <v>98.179</v>
      </c>
    </row>
    <row r="127" customFormat="false" ht="15" hidden="false" customHeight="false" outlineLevel="0" collapsed="false">
      <c r="A127" s="11" t="s">
        <v>304</v>
      </c>
      <c r="B127" s="12" t="n">
        <v>46293</v>
      </c>
      <c r="C127" s="11" t="s">
        <v>46</v>
      </c>
      <c r="D127" s="11" t="s">
        <v>25</v>
      </c>
      <c r="E127" s="11" t="s">
        <v>305</v>
      </c>
      <c r="F127" s="11" t="s">
        <v>48</v>
      </c>
      <c r="G127" s="13" t="n">
        <v>14730</v>
      </c>
      <c r="H127" s="14" t="n">
        <v>104.056</v>
      </c>
      <c r="I127" s="14" t="n">
        <v>103.668</v>
      </c>
    </row>
    <row r="128" customFormat="false" ht="15" hidden="false" customHeight="false" outlineLevel="0" collapsed="false">
      <c r="A128" s="11" t="s">
        <v>306</v>
      </c>
      <c r="B128" s="12" t="n">
        <v>46293</v>
      </c>
      <c r="C128" s="11" t="s">
        <v>54</v>
      </c>
      <c r="D128" s="11" t="s">
        <v>27</v>
      </c>
      <c r="E128" s="11" t="s">
        <v>307</v>
      </c>
      <c r="F128" s="11" t="s">
        <v>56</v>
      </c>
      <c r="G128" s="13" t="n">
        <v>2510709</v>
      </c>
      <c r="H128" s="14" t="n">
        <v>1.21746</v>
      </c>
      <c r="I128" s="14" t="n">
        <v>1.2172</v>
      </c>
    </row>
    <row r="129" customFormat="false" ht="15" hidden="false" customHeight="false" outlineLevel="0" collapsed="false">
      <c r="A129" s="11" t="s">
        <v>308</v>
      </c>
      <c r="B129" s="12" t="n">
        <v>46293</v>
      </c>
      <c r="C129" s="11" t="s">
        <v>46</v>
      </c>
      <c r="D129" s="11" t="s">
        <v>25</v>
      </c>
      <c r="E129" s="11" t="s">
        <v>309</v>
      </c>
      <c r="F129" s="11" t="s">
        <v>48</v>
      </c>
      <c r="G129" s="13" t="n">
        <v>19893</v>
      </c>
      <c r="H129" s="14" t="n">
        <v>101.699</v>
      </c>
      <c r="I129" s="14" t="n">
        <v>101.95</v>
      </c>
    </row>
    <row r="130" customFormat="false" ht="15" hidden="false" customHeight="false" outlineLevel="0" collapsed="false">
      <c r="A130" s="11" t="s">
        <v>310</v>
      </c>
      <c r="B130" s="12" t="n">
        <v>46293</v>
      </c>
      <c r="C130" s="11" t="s">
        <v>60</v>
      </c>
      <c r="D130" s="11" t="s">
        <v>24</v>
      </c>
      <c r="E130" s="11" t="s">
        <v>311</v>
      </c>
      <c r="F130" s="11" t="s">
        <v>56</v>
      </c>
      <c r="G130" s="13" t="n">
        <v>10759</v>
      </c>
      <c r="H130" s="14" t="n">
        <v>126.44</v>
      </c>
      <c r="I130" s="14" t="n">
        <v>127.6</v>
      </c>
    </row>
    <row r="131" customFormat="false" ht="15" hidden="false" customHeight="false" outlineLevel="0" collapsed="false">
      <c r="A131" s="11" t="s">
        <v>312</v>
      </c>
      <c r="B131" s="12" t="n">
        <v>46293</v>
      </c>
      <c r="C131" s="11" t="s">
        <v>60</v>
      </c>
      <c r="D131" s="11" t="s">
        <v>24</v>
      </c>
      <c r="E131" s="11" t="s">
        <v>313</v>
      </c>
      <c r="F131" s="11" t="s">
        <v>56</v>
      </c>
      <c r="G131" s="13" t="n">
        <v>22398</v>
      </c>
      <c r="H131" s="14" t="n">
        <v>215.48</v>
      </c>
      <c r="I131" s="14" t="n">
        <v>216.53</v>
      </c>
    </row>
    <row r="132" customFormat="false" ht="15" hidden="false" customHeight="false" outlineLevel="0" collapsed="false">
      <c r="A132" s="11" t="s">
        <v>314</v>
      </c>
      <c r="B132" s="12" t="n">
        <v>46293</v>
      </c>
      <c r="C132" s="11" t="s">
        <v>60</v>
      </c>
      <c r="D132" s="11" t="s">
        <v>24</v>
      </c>
      <c r="E132" s="11" t="s">
        <v>315</v>
      </c>
      <c r="F132" s="11" t="s">
        <v>56</v>
      </c>
      <c r="G132" s="13" t="n">
        <v>10999</v>
      </c>
      <c r="H132" s="14" t="n">
        <v>291.32</v>
      </c>
      <c r="I132" s="14"/>
    </row>
    <row r="133" customFormat="false" ht="15" hidden="false" customHeight="false" outlineLevel="0" collapsed="false">
      <c r="A133" s="11" t="s">
        <v>316</v>
      </c>
      <c r="B133" s="12" t="n">
        <v>46293</v>
      </c>
      <c r="C133" s="11" t="s">
        <v>77</v>
      </c>
      <c r="D133" s="11" t="s">
        <v>26</v>
      </c>
      <c r="E133" s="11" t="s">
        <v>317</v>
      </c>
      <c r="F133" s="11" t="s">
        <v>48</v>
      </c>
      <c r="G133" s="13" t="n">
        <v>14488</v>
      </c>
      <c r="H133" s="14" t="n">
        <v>98.568</v>
      </c>
      <c r="I133" s="14" t="n">
        <v>98.522</v>
      </c>
    </row>
    <row r="134" customFormat="false" ht="15" hidden="false" customHeight="false" outlineLevel="0" collapsed="false">
      <c r="A134" s="11" t="s">
        <v>318</v>
      </c>
      <c r="B134" s="12" t="n">
        <v>46293</v>
      </c>
      <c r="C134" s="11" t="s">
        <v>77</v>
      </c>
      <c r="D134" s="11" t="s">
        <v>26</v>
      </c>
      <c r="E134" s="11" t="s">
        <v>319</v>
      </c>
      <c r="F134" s="11" t="s">
        <v>48</v>
      </c>
      <c r="G134" s="13" t="n">
        <v>9794</v>
      </c>
      <c r="H134" s="14" t="n">
        <v>102.606</v>
      </c>
      <c r="I134" s="14" t="n">
        <v>102.692</v>
      </c>
    </row>
    <row r="135" customFormat="false" ht="15" hidden="false" customHeight="false" outlineLevel="0" collapsed="false">
      <c r="A135" s="11" t="s">
        <v>320</v>
      </c>
      <c r="B135" s="12" t="n">
        <v>46293</v>
      </c>
      <c r="C135" s="11" t="s">
        <v>77</v>
      </c>
      <c r="D135" s="11" t="s">
        <v>26</v>
      </c>
      <c r="E135" s="11" t="s">
        <v>321</v>
      </c>
      <c r="F135" s="11" t="s">
        <v>48</v>
      </c>
      <c r="G135" s="13" t="n">
        <v>8501</v>
      </c>
      <c r="H135" s="14" t="n">
        <v>96.207</v>
      </c>
      <c r="I135" s="14" t="n">
        <v>96.182</v>
      </c>
    </row>
    <row r="136" customFormat="false" ht="15" hidden="false" customHeight="false" outlineLevel="0" collapsed="false">
      <c r="A136" s="11" t="s">
        <v>322</v>
      </c>
      <c r="B136" s="12" t="n">
        <v>46293</v>
      </c>
      <c r="C136" s="11" t="s">
        <v>39</v>
      </c>
      <c r="D136" s="11" t="s">
        <v>24</v>
      </c>
      <c r="E136" s="11" t="s">
        <v>323</v>
      </c>
      <c r="F136" s="11" t="s">
        <v>41</v>
      </c>
      <c r="G136" s="13" t="n">
        <v>42924</v>
      </c>
      <c r="H136" s="14" t="n">
        <v>135.11</v>
      </c>
      <c r="I136" s="14" t="n">
        <v>134.96</v>
      </c>
    </row>
    <row r="137" customFormat="false" ht="15" hidden="false" customHeight="false" outlineLevel="0" collapsed="false">
      <c r="A137" s="11" t="s">
        <v>324</v>
      </c>
      <c r="B137" s="12" t="n">
        <v>46293</v>
      </c>
      <c r="C137" s="11" t="s">
        <v>60</v>
      </c>
      <c r="D137" s="11" t="s">
        <v>24</v>
      </c>
      <c r="E137" s="11" t="s">
        <v>325</v>
      </c>
      <c r="F137" s="11" t="s">
        <v>56</v>
      </c>
      <c r="G137" s="13" t="n">
        <v>4901</v>
      </c>
      <c r="H137" s="14" t="n">
        <v>148.32</v>
      </c>
      <c r="I137" s="14" t="n">
        <v>145.89</v>
      </c>
    </row>
    <row r="138" customFormat="false" ht="15" hidden="false" customHeight="false" outlineLevel="0" collapsed="false">
      <c r="A138" s="11" t="s">
        <v>326</v>
      </c>
      <c r="B138" s="12" t="n">
        <v>46293</v>
      </c>
      <c r="C138" s="11" t="s">
        <v>54</v>
      </c>
      <c r="D138" s="11" t="s">
        <v>27</v>
      </c>
      <c r="E138" s="11" t="s">
        <v>327</v>
      </c>
      <c r="F138" s="11" t="s">
        <v>56</v>
      </c>
      <c r="G138" s="13" t="n">
        <v>2609487</v>
      </c>
      <c r="H138" s="14" t="n">
        <v>0.67386</v>
      </c>
      <c r="I138" s="14" t="n">
        <v>0.67105</v>
      </c>
    </row>
    <row r="139" customFormat="false" ht="15" hidden="false" customHeight="false" outlineLevel="0" collapsed="false">
      <c r="A139" s="11" t="s">
        <v>328</v>
      </c>
      <c r="B139" s="12" t="n">
        <v>46293</v>
      </c>
      <c r="C139" s="11" t="s">
        <v>60</v>
      </c>
      <c r="D139" s="11" t="s">
        <v>24</v>
      </c>
      <c r="E139" s="11" t="s">
        <v>329</v>
      </c>
      <c r="F139" s="11" t="s">
        <v>56</v>
      </c>
      <c r="G139" s="13" t="n">
        <v>16143</v>
      </c>
      <c r="H139" s="14" t="n">
        <v>169.56</v>
      </c>
      <c r="I139" s="14" t="n">
        <v>169.86</v>
      </c>
    </row>
    <row r="140" customFormat="false" ht="15" hidden="false" customHeight="false" outlineLevel="0" collapsed="false">
      <c r="A140" s="11" t="s">
        <v>330</v>
      </c>
      <c r="B140" s="12" t="n">
        <v>46293</v>
      </c>
      <c r="C140" s="11" t="s">
        <v>50</v>
      </c>
      <c r="D140" s="11" t="s">
        <v>25</v>
      </c>
      <c r="E140" s="11" t="s">
        <v>331</v>
      </c>
      <c r="F140" s="11" t="s">
        <v>52</v>
      </c>
      <c r="G140" s="13" t="n">
        <v>4542</v>
      </c>
      <c r="H140" s="14" t="n">
        <v>104.598</v>
      </c>
      <c r="I140" s="14" t="n">
        <v>104.959</v>
      </c>
    </row>
    <row r="141" customFormat="false" ht="15" hidden="false" customHeight="false" outlineLevel="0" collapsed="false">
      <c r="A141" s="11" t="s">
        <v>332</v>
      </c>
      <c r="B141" s="12" t="n">
        <v>46293</v>
      </c>
      <c r="C141" s="11" t="s">
        <v>50</v>
      </c>
      <c r="D141" s="11" t="s">
        <v>25</v>
      </c>
      <c r="E141" s="11" t="s">
        <v>333</v>
      </c>
      <c r="F141" s="11" t="s">
        <v>52</v>
      </c>
      <c r="G141" s="13" t="n">
        <v>9396</v>
      </c>
      <c r="H141" s="14" t="n">
        <v>99.441</v>
      </c>
      <c r="I141" s="14" t="n">
        <v>99.161</v>
      </c>
    </row>
    <row r="142" customFormat="false" ht="15" hidden="false" customHeight="false" outlineLevel="0" collapsed="false">
      <c r="A142" s="11" t="s">
        <v>334</v>
      </c>
      <c r="B142" s="12" t="n">
        <v>46293</v>
      </c>
      <c r="C142" s="11" t="s">
        <v>77</v>
      </c>
      <c r="D142" s="11" t="s">
        <v>26</v>
      </c>
      <c r="E142" s="11" t="s">
        <v>335</v>
      </c>
      <c r="F142" s="11" t="s">
        <v>48</v>
      </c>
      <c r="G142" s="13" t="n">
        <v>14764</v>
      </c>
      <c r="H142" s="14" t="n">
        <v>96.101</v>
      </c>
      <c r="I142" s="14" t="n">
        <v>96.061</v>
      </c>
    </row>
    <row r="143" customFormat="false" ht="15" hidden="false" customHeight="false" outlineLevel="0" collapsed="false">
      <c r="A143" s="11" t="s">
        <v>336</v>
      </c>
      <c r="B143" s="12" t="n">
        <v>46293</v>
      </c>
      <c r="C143" s="11" t="s">
        <v>46</v>
      </c>
      <c r="D143" s="11" t="s">
        <v>25</v>
      </c>
      <c r="E143" s="11" t="s">
        <v>337</v>
      </c>
      <c r="F143" s="11" t="s">
        <v>48</v>
      </c>
      <c r="G143" s="13" t="n">
        <v>16083</v>
      </c>
      <c r="H143" s="14" t="n">
        <v>105.955</v>
      </c>
      <c r="I143" s="14" t="n">
        <v>105.837</v>
      </c>
    </row>
    <row r="144" customFormat="false" ht="15" hidden="false" customHeight="false" outlineLevel="0" collapsed="false">
      <c r="A144" s="11" t="s">
        <v>338</v>
      </c>
      <c r="B144" s="12" t="n">
        <v>46293</v>
      </c>
      <c r="C144" s="11" t="s">
        <v>96</v>
      </c>
      <c r="D144" s="11" t="s">
        <v>26</v>
      </c>
      <c r="E144" s="11" t="s">
        <v>339</v>
      </c>
      <c r="F144" s="11" t="s">
        <v>52</v>
      </c>
      <c r="G144" s="13" t="n">
        <v>9465</v>
      </c>
      <c r="H144" s="14" t="n">
        <v>98.839</v>
      </c>
      <c r="I144" s="14" t="n">
        <v>98.836</v>
      </c>
    </row>
    <row r="145" customFormat="false" ht="15" hidden="false" customHeight="false" outlineLevel="0" collapsed="false">
      <c r="A145" s="11" t="s">
        <v>340</v>
      </c>
      <c r="B145" s="12" t="n">
        <v>46293</v>
      </c>
      <c r="C145" s="11" t="s">
        <v>96</v>
      </c>
      <c r="D145" s="11" t="s">
        <v>341</v>
      </c>
      <c r="E145" s="11" t="s">
        <v>342</v>
      </c>
      <c r="F145" s="11" t="s">
        <v>52</v>
      </c>
      <c r="G145" s="13" t="n">
        <v>2756</v>
      </c>
      <c r="H145" s="14" t="n">
        <v>102.577</v>
      </c>
      <c r="I145" s="14" t="n">
        <v>102.61</v>
      </c>
    </row>
    <row r="146" customFormat="false" ht="15" hidden="false" customHeight="false" outlineLevel="0" collapsed="false">
      <c r="A146" s="11" t="s">
        <v>343</v>
      </c>
      <c r="B146" s="12" t="n">
        <v>46293</v>
      </c>
      <c r="C146" s="11" t="s">
        <v>50</v>
      </c>
      <c r="D146" s="11" t="s">
        <v>344</v>
      </c>
      <c r="E146" s="11" t="s">
        <v>345</v>
      </c>
      <c r="F146" s="11" t="s">
        <v>52</v>
      </c>
      <c r="G146" s="13" t="n">
        <v>2514</v>
      </c>
      <c r="H146" s="14" t="n">
        <v>94.358</v>
      </c>
      <c r="I146" s="14" t="n">
        <v>94.712</v>
      </c>
    </row>
    <row r="147" customFormat="false" ht="15" hidden="false" customHeight="false" outlineLevel="0" collapsed="false">
      <c r="A147" s="11" t="s">
        <v>346</v>
      </c>
      <c r="B147" s="12" t="n">
        <v>46293</v>
      </c>
      <c r="C147" s="11" t="s">
        <v>39</v>
      </c>
      <c r="D147" s="11" t="s">
        <v>24</v>
      </c>
      <c r="E147" s="11" t="s">
        <v>347</v>
      </c>
      <c r="F147" s="11" t="s">
        <v>41</v>
      </c>
      <c r="G147" s="13" t="n">
        <v>14108</v>
      </c>
      <c r="H147" s="14" t="n">
        <v>155.98</v>
      </c>
      <c r="I147" s="14" t="n">
        <v>156.66</v>
      </c>
    </row>
    <row r="148" customFormat="false" ht="15" hidden="false" customHeight="false" outlineLevel="0" collapsed="false">
      <c r="A148" s="11" t="s">
        <v>348</v>
      </c>
      <c r="B148" s="12" t="n">
        <v>46293</v>
      </c>
      <c r="C148" s="11" t="s">
        <v>77</v>
      </c>
      <c r="D148" s="11" t="s">
        <v>26</v>
      </c>
      <c r="E148" s="11" t="s">
        <v>349</v>
      </c>
      <c r="F148" s="11" t="s">
        <v>48</v>
      </c>
      <c r="G148" s="13" t="n">
        <v>2683</v>
      </c>
      <c r="H148" s="14" t="n">
        <v>99.755</v>
      </c>
      <c r="I148" s="14" t="n">
        <v>99.814</v>
      </c>
    </row>
    <row r="149" customFormat="false" ht="15" hidden="false" customHeight="false" outlineLevel="0" collapsed="false">
      <c r="A149" s="11" t="s">
        <v>350</v>
      </c>
      <c r="B149" s="12" t="n">
        <v>46293</v>
      </c>
      <c r="C149" s="11" t="s">
        <v>43</v>
      </c>
      <c r="D149" s="11" t="s">
        <v>243</v>
      </c>
      <c r="E149" s="11" t="s">
        <v>351</v>
      </c>
      <c r="F149" s="11" t="s">
        <v>41</v>
      </c>
      <c r="G149" s="13" t="n">
        <v>2030372</v>
      </c>
      <c r="H149" s="14" t="n">
        <v>1.43284</v>
      </c>
      <c r="I149" s="14" t="n">
        <v>1.4298</v>
      </c>
    </row>
    <row r="150" customFormat="false" ht="15" hidden="false" customHeight="false" outlineLevel="0" collapsed="false">
      <c r="A150" s="11" t="s">
        <v>352</v>
      </c>
      <c r="B150" s="12" t="n">
        <v>46293</v>
      </c>
      <c r="C150" s="11" t="s">
        <v>60</v>
      </c>
      <c r="D150" s="11" t="s">
        <v>24</v>
      </c>
      <c r="E150" s="11" t="s">
        <v>353</v>
      </c>
      <c r="F150" s="11" t="s">
        <v>56</v>
      </c>
      <c r="G150" s="13" t="n">
        <v>8780</v>
      </c>
      <c r="H150" s="14" t="n">
        <v>161.65</v>
      </c>
      <c r="I150" s="14"/>
    </row>
    <row r="151" customFormat="false" ht="15" hidden="false" customHeight="false" outlineLevel="0" collapsed="false">
      <c r="A151" s="11" t="s">
        <v>354</v>
      </c>
      <c r="B151" s="12" t="n">
        <v>46293</v>
      </c>
      <c r="C151" s="11" t="s">
        <v>77</v>
      </c>
      <c r="D151" s="11" t="s">
        <v>26</v>
      </c>
      <c r="E151" s="11" t="s">
        <v>355</v>
      </c>
      <c r="F151" s="11" t="s">
        <v>48</v>
      </c>
      <c r="G151" s="13" t="n">
        <v>11339</v>
      </c>
      <c r="H151" s="14" t="n">
        <v>98.453</v>
      </c>
      <c r="I151" s="14" t="n">
        <v>98.434</v>
      </c>
    </row>
    <row r="152" customFormat="false" ht="15" hidden="false" customHeight="false" outlineLevel="0" collapsed="false">
      <c r="A152" s="11" t="s">
        <v>356</v>
      </c>
      <c r="B152" s="12" t="n">
        <v>46293</v>
      </c>
      <c r="C152" s="11" t="s">
        <v>46</v>
      </c>
      <c r="D152" s="11" t="s">
        <v>25</v>
      </c>
      <c r="E152" s="11" t="s">
        <v>357</v>
      </c>
      <c r="F152" s="11" t="s">
        <v>48</v>
      </c>
      <c r="G152" s="13" t="n">
        <v>10362</v>
      </c>
      <c r="H152" s="14" t="n">
        <v>93.24</v>
      </c>
      <c r="I152" s="14" t="n">
        <v>93.284</v>
      </c>
    </row>
    <row r="153" customFormat="false" ht="15" hidden="false" customHeight="false" outlineLevel="0" collapsed="false">
      <c r="A153" s="11" t="s">
        <v>358</v>
      </c>
      <c r="B153" s="12" t="n">
        <v>46293</v>
      </c>
      <c r="C153" s="11" t="s">
        <v>60</v>
      </c>
      <c r="D153" s="11" t="s">
        <v>24</v>
      </c>
      <c r="E153" s="11" t="s">
        <v>359</v>
      </c>
      <c r="F153" s="11" t="s">
        <v>56</v>
      </c>
      <c r="G153" s="13" t="n">
        <v>27766</v>
      </c>
      <c r="H153" s="14" t="n">
        <v>241.78</v>
      </c>
      <c r="I153" s="14" t="n">
        <v>241.61</v>
      </c>
    </row>
    <row r="154" customFormat="false" ht="15" hidden="false" customHeight="false" outlineLevel="0" collapsed="false">
      <c r="A154" s="11" t="s">
        <v>360</v>
      </c>
      <c r="B154" s="12" t="n">
        <v>46293</v>
      </c>
      <c r="C154" s="11" t="s">
        <v>54</v>
      </c>
      <c r="D154" s="11" t="s">
        <v>27</v>
      </c>
      <c r="E154" s="11" t="s">
        <v>361</v>
      </c>
      <c r="F154" s="11" t="s">
        <v>56</v>
      </c>
      <c r="G154" s="13" t="n">
        <v>2120226</v>
      </c>
      <c r="H154" s="14" t="n">
        <v>0.76998</v>
      </c>
      <c r="I154" s="14" t="n">
        <v>0.76793</v>
      </c>
    </row>
    <row r="155" customFormat="false" ht="15" hidden="false" customHeight="false" outlineLevel="0" collapsed="false">
      <c r="A155" s="11" t="s">
        <v>362</v>
      </c>
      <c r="B155" s="12" t="n">
        <v>46293</v>
      </c>
      <c r="C155" s="11" t="s">
        <v>60</v>
      </c>
      <c r="D155" s="11" t="s">
        <v>24</v>
      </c>
      <c r="E155" s="11" t="s">
        <v>363</v>
      </c>
      <c r="F155" s="11" t="s">
        <v>56</v>
      </c>
      <c r="G155" s="13" t="n">
        <v>26248</v>
      </c>
      <c r="H155" s="14" t="n">
        <v>219.63</v>
      </c>
      <c r="I155" s="14" t="n">
        <v>220.46</v>
      </c>
    </row>
    <row r="156" customFormat="false" ht="15" hidden="false" customHeight="false" outlineLevel="0" collapsed="false">
      <c r="A156" s="11" t="s">
        <v>364</v>
      </c>
      <c r="B156" s="12" t="n">
        <v>46293</v>
      </c>
      <c r="C156" s="11" t="s">
        <v>96</v>
      </c>
      <c r="D156" s="11" t="s">
        <v>26</v>
      </c>
      <c r="E156" s="11" t="s">
        <v>365</v>
      </c>
      <c r="F156" s="11" t="s">
        <v>52</v>
      </c>
      <c r="G156" s="13" t="n">
        <v>10882</v>
      </c>
      <c r="H156" s="14" t="n">
        <v>100.737</v>
      </c>
      <c r="I156" s="14"/>
    </row>
    <row r="157" customFormat="false" ht="15" hidden="false" customHeight="false" outlineLevel="0" collapsed="false">
      <c r="A157" s="11" t="s">
        <v>366</v>
      </c>
      <c r="B157" s="12" t="n">
        <v>46293</v>
      </c>
      <c r="C157" s="11" t="s">
        <v>50</v>
      </c>
      <c r="D157" s="11" t="s">
        <v>25</v>
      </c>
      <c r="E157" s="11" t="s">
        <v>367</v>
      </c>
      <c r="F157" s="11" t="s">
        <v>52</v>
      </c>
      <c r="G157" s="13" t="n">
        <v>10861</v>
      </c>
      <c r="H157" s="14" t="n">
        <v>101.848</v>
      </c>
      <c r="I157" s="14" t="n">
        <v>101.904</v>
      </c>
    </row>
    <row r="158" customFormat="false" ht="15" hidden="false" customHeight="false" outlineLevel="0" collapsed="false">
      <c r="A158" s="11" t="s">
        <v>368</v>
      </c>
      <c r="B158" s="12" t="n">
        <v>46293</v>
      </c>
      <c r="C158" s="11" t="s">
        <v>54</v>
      </c>
      <c r="D158" s="11" t="s">
        <v>27</v>
      </c>
      <c r="E158" s="11" t="s">
        <v>369</v>
      </c>
      <c r="F158" s="11" t="s">
        <v>56</v>
      </c>
      <c r="G158" s="13" t="n">
        <v>3740416</v>
      </c>
      <c r="H158" s="14" t="n">
        <v>1.34677</v>
      </c>
      <c r="I158" s="14" t="n">
        <v>1.34372</v>
      </c>
    </row>
    <row r="159" customFormat="false" ht="15" hidden="false" customHeight="false" outlineLevel="0" collapsed="false">
      <c r="A159" s="11" t="s">
        <v>370</v>
      </c>
      <c r="B159" s="12" t="n">
        <v>46293</v>
      </c>
      <c r="C159" s="11" t="s">
        <v>77</v>
      </c>
      <c r="D159" s="11" t="s">
        <v>26</v>
      </c>
      <c r="E159" s="11" t="s">
        <v>371</v>
      </c>
      <c r="F159" s="11" t="s">
        <v>48</v>
      </c>
      <c r="G159" s="13" t="n">
        <v>17180</v>
      </c>
      <c r="H159" s="14" t="n">
        <v>100.004</v>
      </c>
      <c r="I159" s="14" t="n">
        <v>99.987</v>
      </c>
    </row>
    <row r="160" customFormat="false" ht="15" hidden="false" customHeight="false" outlineLevel="0" collapsed="false">
      <c r="A160" s="11" t="s">
        <v>372</v>
      </c>
      <c r="B160" s="12" t="n">
        <v>46293</v>
      </c>
      <c r="C160" s="11" t="s">
        <v>77</v>
      </c>
      <c r="D160" s="11" t="s">
        <v>373</v>
      </c>
      <c r="E160" s="11" t="s">
        <v>374</v>
      </c>
      <c r="F160" s="11" t="s">
        <v>48</v>
      </c>
      <c r="G160" s="13" t="n">
        <v>11561</v>
      </c>
      <c r="H160" s="14" t="n">
        <v>96.644</v>
      </c>
      <c r="I160" s="14" t="n">
        <v>96.545</v>
      </c>
    </row>
    <row r="161" customFormat="false" ht="15" hidden="false" customHeight="false" outlineLevel="0" collapsed="false">
      <c r="A161" s="11" t="s">
        <v>375</v>
      </c>
      <c r="B161" s="12" t="n">
        <v>46293</v>
      </c>
      <c r="C161" s="11" t="s">
        <v>46</v>
      </c>
      <c r="D161" s="11" t="s">
        <v>25</v>
      </c>
      <c r="E161" s="11" t="s">
        <v>376</v>
      </c>
      <c r="F161" s="11" t="s">
        <v>48</v>
      </c>
      <c r="G161" s="13" t="n">
        <v>11278</v>
      </c>
      <c r="H161" s="14" t="n">
        <v>103.657</v>
      </c>
      <c r="I161" s="14" t="n">
        <v>103.664</v>
      </c>
    </row>
    <row r="162" customFormat="false" ht="15" hidden="false" customHeight="false" outlineLevel="0" collapsed="false">
      <c r="A162" s="11" t="s">
        <v>377</v>
      </c>
      <c r="B162" s="12" t="n">
        <v>46293</v>
      </c>
      <c r="C162" s="11" t="s">
        <v>60</v>
      </c>
      <c r="D162" s="11" t="s">
        <v>195</v>
      </c>
      <c r="E162" s="11" t="s">
        <v>378</v>
      </c>
      <c r="F162" s="11" t="s">
        <v>56</v>
      </c>
      <c r="G162" s="13" t="n">
        <v>20253</v>
      </c>
      <c r="H162" s="14" t="n">
        <v>51.32</v>
      </c>
      <c r="I162" s="14" t="n">
        <v>51.81</v>
      </c>
    </row>
    <row r="163" customFormat="false" ht="15" hidden="false" customHeight="false" outlineLevel="0" collapsed="false">
      <c r="A163" s="11" t="s">
        <v>379</v>
      </c>
      <c r="B163" s="12" t="n">
        <v>46293</v>
      </c>
      <c r="C163" s="11" t="s">
        <v>96</v>
      </c>
      <c r="D163" s="11" t="s">
        <v>26</v>
      </c>
      <c r="E163" s="11" t="s">
        <v>380</v>
      </c>
      <c r="F163" s="11" t="s">
        <v>52</v>
      </c>
      <c r="G163" s="13" t="n">
        <v>2318</v>
      </c>
      <c r="H163" s="14" t="n">
        <v>103.997</v>
      </c>
      <c r="I163" s="14" t="n">
        <v>104.036</v>
      </c>
    </row>
    <row r="164" customFormat="false" ht="15" hidden="false" customHeight="false" outlineLevel="0" collapsed="false">
      <c r="A164" s="11" t="s">
        <v>381</v>
      </c>
      <c r="B164" s="12" t="n">
        <v>46293</v>
      </c>
      <c r="C164" s="11" t="s">
        <v>60</v>
      </c>
      <c r="D164" s="11" t="s">
        <v>24</v>
      </c>
      <c r="E164" s="11" t="s">
        <v>382</v>
      </c>
      <c r="F164" s="11" t="s">
        <v>56</v>
      </c>
      <c r="G164" s="13" t="n">
        <v>49119</v>
      </c>
      <c r="H164" s="14" t="n">
        <v>291.24</v>
      </c>
      <c r="I164" s="14" t="n">
        <v>292.85</v>
      </c>
    </row>
    <row r="165" customFormat="false" ht="15" hidden="false" customHeight="false" outlineLevel="0" collapsed="false">
      <c r="A165" s="11" t="s">
        <v>383</v>
      </c>
      <c r="B165" s="12" t="n">
        <v>46293</v>
      </c>
      <c r="C165" s="11" t="s">
        <v>39</v>
      </c>
      <c r="D165" s="11" t="s">
        <v>24</v>
      </c>
      <c r="E165" s="11" t="s">
        <v>384</v>
      </c>
      <c r="F165" s="11" t="s">
        <v>41</v>
      </c>
      <c r="G165" s="13" t="n">
        <v>41220</v>
      </c>
      <c r="H165" s="14" t="n">
        <v>45.45</v>
      </c>
      <c r="I165" s="14" t="n">
        <v>45.35</v>
      </c>
    </row>
    <row r="166" customFormat="false" ht="15" hidden="false" customHeight="false" outlineLevel="0" collapsed="false">
      <c r="A166" s="11" t="s">
        <v>385</v>
      </c>
      <c r="B166" s="12" t="n">
        <v>46293</v>
      </c>
      <c r="C166" s="11" t="s">
        <v>77</v>
      </c>
      <c r="D166" s="11" t="s">
        <v>26</v>
      </c>
      <c r="E166" s="11" t="s">
        <v>386</v>
      </c>
      <c r="F166" s="11" t="s">
        <v>48</v>
      </c>
      <c r="G166" s="13" t="n">
        <v>15868</v>
      </c>
      <c r="H166" s="14" t="n">
        <v>98.814</v>
      </c>
      <c r="I166" s="14" t="n">
        <v>98.538</v>
      </c>
    </row>
    <row r="167" customFormat="false" ht="15" hidden="false" customHeight="false" outlineLevel="0" collapsed="false">
      <c r="A167" s="11" t="s">
        <v>387</v>
      </c>
      <c r="B167" s="12" t="n">
        <v>46293</v>
      </c>
      <c r="C167" s="11" t="s">
        <v>50</v>
      </c>
      <c r="D167" s="11" t="s">
        <v>25</v>
      </c>
      <c r="E167" s="11" t="s">
        <v>388</v>
      </c>
      <c r="F167" s="11" t="s">
        <v>52</v>
      </c>
      <c r="G167" s="13" t="n">
        <v>5534</v>
      </c>
      <c r="H167" s="14" t="n">
        <v>96.347</v>
      </c>
      <c r="I167" s="14" t="n">
        <v>96.475</v>
      </c>
    </row>
    <row r="168" customFormat="false" ht="15" hidden="false" customHeight="false" outlineLevel="0" collapsed="false">
      <c r="A168" s="11" t="s">
        <v>389</v>
      </c>
      <c r="B168" s="12" t="n">
        <v>46293</v>
      </c>
      <c r="C168" s="11" t="s">
        <v>77</v>
      </c>
      <c r="D168" s="11" t="s">
        <v>26</v>
      </c>
      <c r="E168" s="11" t="s">
        <v>390</v>
      </c>
      <c r="F168" s="11" t="s">
        <v>48</v>
      </c>
      <c r="G168" s="13" t="n">
        <v>16883</v>
      </c>
      <c r="H168" s="14" t="n">
        <v>100.394</v>
      </c>
      <c r="I168" s="14" t="n">
        <v>100.297</v>
      </c>
    </row>
    <row r="169" customFormat="false" ht="15" hidden="false" customHeight="false" outlineLevel="0" collapsed="false">
      <c r="A169" s="11" t="s">
        <v>391</v>
      </c>
      <c r="B169" s="12" t="n">
        <v>46293</v>
      </c>
      <c r="C169" s="11" t="s">
        <v>60</v>
      </c>
      <c r="D169" s="11" t="s">
        <v>24</v>
      </c>
      <c r="E169" s="11" t="s">
        <v>392</v>
      </c>
      <c r="F169" s="11" t="s">
        <v>56</v>
      </c>
      <c r="G169" s="13" t="n">
        <v>41298</v>
      </c>
      <c r="H169" s="14" t="n">
        <v>174.57</v>
      </c>
      <c r="I169" s="14" t="n">
        <v>175.65</v>
      </c>
    </row>
    <row r="170" customFormat="false" ht="15" hidden="false" customHeight="false" outlineLevel="0" collapsed="false">
      <c r="A170" s="11" t="s">
        <v>393</v>
      </c>
      <c r="B170" s="12" t="n">
        <v>46293</v>
      </c>
      <c r="C170" s="11" t="s">
        <v>39</v>
      </c>
      <c r="D170" s="11" t="s">
        <v>24</v>
      </c>
      <c r="E170" s="11" t="s">
        <v>394</v>
      </c>
      <c r="F170" s="11" t="s">
        <v>41</v>
      </c>
      <c r="G170" s="13" t="n">
        <v>15356</v>
      </c>
      <c r="H170" s="14" t="n">
        <v>295.86</v>
      </c>
      <c r="I170" s="14" t="n">
        <v>296.3</v>
      </c>
    </row>
    <row r="171" customFormat="false" ht="15" hidden="false" customHeight="false" outlineLevel="0" collapsed="false">
      <c r="A171" s="11" t="s">
        <v>395</v>
      </c>
      <c r="B171" s="12" t="n">
        <v>46290</v>
      </c>
      <c r="C171" s="11" t="s">
        <v>60</v>
      </c>
      <c r="D171" s="11" t="s">
        <v>24</v>
      </c>
      <c r="E171" s="11" t="s">
        <v>396</v>
      </c>
      <c r="F171" s="11" t="s">
        <v>56</v>
      </c>
      <c r="G171" s="13" t="n">
        <v>37282</v>
      </c>
      <c r="H171" s="14" t="n">
        <v>36.22</v>
      </c>
      <c r="I171" s="14" t="n">
        <v>35.83</v>
      </c>
    </row>
    <row r="172" customFormat="false" ht="15" hidden="false" customHeight="false" outlineLevel="0" collapsed="false">
      <c r="A172" s="11" t="s">
        <v>397</v>
      </c>
      <c r="B172" s="12" t="n">
        <v>46293</v>
      </c>
      <c r="C172" s="11" t="s">
        <v>54</v>
      </c>
      <c r="D172" s="11" t="s">
        <v>27</v>
      </c>
      <c r="E172" s="11" t="s">
        <v>398</v>
      </c>
      <c r="F172" s="11" t="s">
        <v>56</v>
      </c>
      <c r="G172" s="13" t="n">
        <v>2417331</v>
      </c>
      <c r="H172" s="14" t="n">
        <v>1.46403</v>
      </c>
      <c r="I172" s="14" t="n">
        <v>1.4629</v>
      </c>
    </row>
    <row r="173" customFormat="false" ht="15" hidden="false" customHeight="false" outlineLevel="0" collapsed="false">
      <c r="A173" s="11" t="s">
        <v>399</v>
      </c>
      <c r="B173" s="12" t="n">
        <v>46293</v>
      </c>
      <c r="C173" s="11" t="s">
        <v>46</v>
      </c>
      <c r="D173" s="11" t="s">
        <v>25</v>
      </c>
      <c r="E173" s="11" t="s">
        <v>400</v>
      </c>
      <c r="F173" s="11" t="s">
        <v>48</v>
      </c>
      <c r="G173" s="13" t="n">
        <v>17617</v>
      </c>
      <c r="H173" s="14" t="n">
        <v>102.614</v>
      </c>
      <c r="I173" s="14" t="n">
        <v>103.32</v>
      </c>
    </row>
    <row r="174" customFormat="false" ht="15" hidden="false" customHeight="false" outlineLevel="0" collapsed="false">
      <c r="A174" s="11" t="s">
        <v>401</v>
      </c>
      <c r="B174" s="12" t="n">
        <v>46293</v>
      </c>
      <c r="C174" s="11" t="s">
        <v>77</v>
      </c>
      <c r="D174" s="11" t="s">
        <v>26</v>
      </c>
      <c r="E174" s="11" t="s">
        <v>402</v>
      </c>
      <c r="F174" s="11" t="s">
        <v>48</v>
      </c>
      <c r="G174" s="13" t="n">
        <v>8972</v>
      </c>
      <c r="H174" s="14" t="n">
        <v>102.343</v>
      </c>
      <c r="I174" s="14" t="n">
        <v>102.283</v>
      </c>
    </row>
    <row r="175" customFormat="false" ht="15" hidden="false" customHeight="false" outlineLevel="0" collapsed="false">
      <c r="A175" s="11" t="s">
        <v>403</v>
      </c>
      <c r="B175" s="12" t="n">
        <v>46293</v>
      </c>
      <c r="C175" s="11" t="s">
        <v>39</v>
      </c>
      <c r="D175" s="11" t="s">
        <v>24</v>
      </c>
      <c r="E175" s="11" t="s">
        <v>404</v>
      </c>
      <c r="F175" s="11" t="s">
        <v>41</v>
      </c>
      <c r="G175" s="13" t="n">
        <v>13903</v>
      </c>
      <c r="H175" s="14" t="n">
        <v>98.89</v>
      </c>
      <c r="I175" s="14" t="n">
        <v>99.41</v>
      </c>
    </row>
    <row r="176" customFormat="false" ht="15" hidden="false" customHeight="false" outlineLevel="0" collapsed="false">
      <c r="A176" s="11" t="s">
        <v>405</v>
      </c>
      <c r="B176" s="12" t="n">
        <v>46293</v>
      </c>
      <c r="C176" s="11" t="s">
        <v>46</v>
      </c>
      <c r="D176" s="11" t="s">
        <v>25</v>
      </c>
      <c r="E176" s="11" t="s">
        <v>406</v>
      </c>
      <c r="F176" s="11" t="s">
        <v>48</v>
      </c>
      <c r="G176" s="13" t="n">
        <v>16222</v>
      </c>
      <c r="H176" s="14" t="n">
        <v>95.501</v>
      </c>
      <c r="I176" s="14" t="n">
        <v>95.378</v>
      </c>
    </row>
    <row r="177" customFormat="false" ht="15" hidden="false" customHeight="false" outlineLevel="0" collapsed="false">
      <c r="A177" s="11" t="s">
        <v>407</v>
      </c>
      <c r="B177" s="12" t="n">
        <v>46293</v>
      </c>
      <c r="C177" s="11" t="s">
        <v>77</v>
      </c>
      <c r="D177" s="11" t="s">
        <v>26</v>
      </c>
      <c r="E177" s="11" t="s">
        <v>408</v>
      </c>
      <c r="F177" s="11" t="s">
        <v>48</v>
      </c>
      <c r="G177" s="13" t="n">
        <v>19212</v>
      </c>
      <c r="H177" s="14" t="n">
        <v>98.237</v>
      </c>
      <c r="I177" s="14" t="n">
        <v>98.404</v>
      </c>
    </row>
    <row r="178" customFormat="false" ht="15" hidden="false" customHeight="false" outlineLevel="0" collapsed="false">
      <c r="A178" s="11" t="s">
        <v>403</v>
      </c>
      <c r="B178" s="12" t="n">
        <v>46293</v>
      </c>
      <c r="C178" s="11" t="s">
        <v>39</v>
      </c>
      <c r="D178" s="11" t="s">
        <v>24</v>
      </c>
      <c r="E178" s="11" t="s">
        <v>404</v>
      </c>
      <c r="F178" s="11" t="s">
        <v>41</v>
      </c>
      <c r="G178" s="13" t="n">
        <v>13903</v>
      </c>
      <c r="H178" s="14" t="n">
        <v>98.89</v>
      </c>
      <c r="I178" s="14" t="n">
        <v>99.41</v>
      </c>
    </row>
    <row r="179" customFormat="false" ht="15" hidden="false" customHeight="false" outlineLevel="0" collapsed="false">
      <c r="A179" s="11" t="s">
        <v>409</v>
      </c>
      <c r="B179" s="12" t="n">
        <v>46293</v>
      </c>
      <c r="C179" s="11" t="s">
        <v>60</v>
      </c>
      <c r="D179" s="11" t="s">
        <v>24</v>
      </c>
      <c r="E179" s="11" t="s">
        <v>410</v>
      </c>
      <c r="F179" s="11" t="s">
        <v>56</v>
      </c>
      <c r="G179" s="13" t="n">
        <v>45199</v>
      </c>
      <c r="H179" s="14" t="n">
        <v>149.43</v>
      </c>
      <c r="I179" s="14" t="n">
        <v>149.64</v>
      </c>
    </row>
    <row r="180" customFormat="false" ht="15" hidden="false" customHeight="false" outlineLevel="0" collapsed="false">
      <c r="A180" s="11" t="s">
        <v>411</v>
      </c>
      <c r="B180" s="12" t="n">
        <v>46293</v>
      </c>
      <c r="C180" s="11" t="s">
        <v>77</v>
      </c>
      <c r="D180" s="11" t="s">
        <v>26</v>
      </c>
      <c r="E180" s="11" t="s">
        <v>412</v>
      </c>
      <c r="F180" s="11" t="s">
        <v>48</v>
      </c>
      <c r="G180" s="13" t="n">
        <v>17083</v>
      </c>
      <c r="H180" s="14" t="n">
        <v>101.167</v>
      </c>
      <c r="I180" s="14" t="n">
        <v>101.096</v>
      </c>
    </row>
    <row r="181" customFormat="false" ht="15" hidden="false" customHeight="false" outlineLevel="0" collapsed="false">
      <c r="A181" s="11" t="s">
        <v>387</v>
      </c>
      <c r="B181" s="12" t="n">
        <v>46293</v>
      </c>
      <c r="C181" s="11" t="s">
        <v>50</v>
      </c>
      <c r="D181" s="11" t="s">
        <v>25</v>
      </c>
      <c r="E181" s="11" t="s">
        <v>388</v>
      </c>
      <c r="F181" s="11" t="s">
        <v>52</v>
      </c>
      <c r="G181" s="13" t="n">
        <v>5534</v>
      </c>
      <c r="H181" s="14" t="n">
        <v>96.347</v>
      </c>
      <c r="I181" s="14" t="n">
        <v>96.475</v>
      </c>
    </row>
    <row r="182" customFormat="false" ht="15" hidden="false" customHeight="false" outlineLevel="0" collapsed="false">
      <c r="A182" s="11" t="s">
        <v>413</v>
      </c>
      <c r="B182" s="12" t="n">
        <v>46293</v>
      </c>
      <c r="C182" s="11" t="s">
        <v>39</v>
      </c>
      <c r="D182" s="11" t="s">
        <v>24</v>
      </c>
      <c r="E182" s="11" t="s">
        <v>414</v>
      </c>
      <c r="F182" s="11" t="s">
        <v>41</v>
      </c>
      <c r="G182" s="13" t="n">
        <v>25686</v>
      </c>
      <c r="H182" s="14" t="n">
        <v>272.68</v>
      </c>
      <c r="I182" s="14" t="n">
        <v>272.63</v>
      </c>
    </row>
    <row r="183" customFormat="false" ht="15" hidden="false" customHeight="false" outlineLevel="0" collapsed="false">
      <c r="A183" s="11" t="s">
        <v>415</v>
      </c>
      <c r="B183" s="12" t="n">
        <v>46293</v>
      </c>
      <c r="C183" s="11" t="s">
        <v>77</v>
      </c>
      <c r="D183" s="11" t="s">
        <v>26</v>
      </c>
      <c r="E183" s="11" t="s">
        <v>416</v>
      </c>
      <c r="F183" s="11" t="s">
        <v>48</v>
      </c>
      <c r="G183" s="13" t="n">
        <v>16232</v>
      </c>
      <c r="H183" s="14" t="n">
        <v>100.927</v>
      </c>
      <c r="I183" s="14" t="n">
        <v>100.775</v>
      </c>
    </row>
    <row r="184" customFormat="false" ht="15" hidden="false" customHeight="false" outlineLevel="0" collapsed="false">
      <c r="A184" s="11" t="s">
        <v>417</v>
      </c>
      <c r="B184" s="12" t="n">
        <v>46293</v>
      </c>
      <c r="C184" s="11" t="s">
        <v>54</v>
      </c>
      <c r="D184" s="11" t="s">
        <v>27</v>
      </c>
      <c r="E184" s="11" t="s">
        <v>418</v>
      </c>
      <c r="F184" s="11" t="s">
        <v>56</v>
      </c>
      <c r="G184" s="13" t="n">
        <v>178831</v>
      </c>
      <c r="H184" s="14" t="n">
        <v>1.06115</v>
      </c>
      <c r="I184" s="14" t="n">
        <v>1.06118</v>
      </c>
    </row>
    <row r="185" customFormat="false" ht="15" hidden="false" customHeight="false" outlineLevel="0" collapsed="false">
      <c r="A185" s="11" t="s">
        <v>419</v>
      </c>
      <c r="B185" s="12" t="n">
        <v>46293</v>
      </c>
      <c r="C185" s="11" t="s">
        <v>50</v>
      </c>
      <c r="D185" s="11" t="s">
        <v>25</v>
      </c>
      <c r="E185" s="11" t="s">
        <v>420</v>
      </c>
      <c r="F185" s="11" t="s">
        <v>52</v>
      </c>
      <c r="G185" s="13" t="n">
        <v>7532</v>
      </c>
      <c r="H185" s="14" t="n">
        <v>107.194</v>
      </c>
      <c r="I185" s="14" t="n">
        <v>106.881</v>
      </c>
    </row>
    <row r="186" customFormat="false" ht="15" hidden="false" customHeight="false" outlineLevel="0" collapsed="false">
      <c r="A186" s="11" t="s">
        <v>421</v>
      </c>
      <c r="B186" s="12" t="n">
        <v>46293</v>
      </c>
      <c r="C186" s="11" t="s">
        <v>77</v>
      </c>
      <c r="D186" s="11" t="s">
        <v>26</v>
      </c>
      <c r="E186" s="11" t="s">
        <v>422</v>
      </c>
      <c r="F186" s="11" t="s">
        <v>48</v>
      </c>
      <c r="G186" s="13" t="n">
        <v>15771</v>
      </c>
      <c r="H186" s="14" t="n">
        <v>102.814</v>
      </c>
      <c r="I186" s="14" t="n">
        <v>102.793</v>
      </c>
    </row>
    <row r="187" customFormat="false" ht="15" hidden="false" customHeight="false" outlineLevel="0" collapsed="false">
      <c r="A187" s="11" t="s">
        <v>423</v>
      </c>
      <c r="B187" s="12" t="n">
        <v>46293</v>
      </c>
      <c r="C187" s="11" t="s">
        <v>39</v>
      </c>
      <c r="D187" s="11" t="s">
        <v>24</v>
      </c>
      <c r="E187" s="11" t="s">
        <v>424</v>
      </c>
      <c r="F187" s="11" t="s">
        <v>41</v>
      </c>
      <c r="G187" s="13" t="n">
        <v>6178</v>
      </c>
      <c r="H187" s="14" t="n">
        <v>63.53</v>
      </c>
      <c r="I187" s="14" t="n">
        <v>63.25</v>
      </c>
    </row>
    <row r="188" customFormat="false" ht="15" hidden="false" customHeight="false" outlineLevel="0" collapsed="false">
      <c r="A188" s="11" t="s">
        <v>425</v>
      </c>
      <c r="B188" s="12" t="n">
        <v>46293</v>
      </c>
      <c r="C188" s="11" t="s">
        <v>46</v>
      </c>
      <c r="D188" s="11" t="s">
        <v>25</v>
      </c>
      <c r="E188" s="11" t="s">
        <v>426</v>
      </c>
      <c r="F188" s="11" t="s">
        <v>48</v>
      </c>
      <c r="G188" s="13" t="n">
        <v>19314</v>
      </c>
      <c r="H188" s="14" t="n">
        <v>94.133</v>
      </c>
      <c r="I188" s="14" t="n">
        <v>94.416</v>
      </c>
    </row>
    <row r="189" customFormat="false" ht="15" hidden="false" customHeight="false" outlineLevel="0" collapsed="false">
      <c r="A189" s="11" t="s">
        <v>427</v>
      </c>
      <c r="B189" s="12" t="n">
        <v>46293</v>
      </c>
      <c r="C189" s="11" t="s">
        <v>39</v>
      </c>
      <c r="D189" s="11" t="s">
        <v>24</v>
      </c>
      <c r="E189" s="11" t="s">
        <v>428</v>
      </c>
      <c r="F189" s="11" t="s">
        <v>41</v>
      </c>
      <c r="G189" s="13" t="n">
        <v>19545</v>
      </c>
      <c r="H189" s="14" t="n">
        <v>63.34</v>
      </c>
      <c r="I189" s="14" t="n">
        <v>62.46</v>
      </c>
    </row>
    <row r="190" customFormat="false" ht="15" hidden="false" customHeight="false" outlineLevel="0" collapsed="false">
      <c r="A190" s="11" t="s">
        <v>429</v>
      </c>
      <c r="B190" s="12" t="n">
        <v>46293</v>
      </c>
      <c r="C190" s="11" t="s">
        <v>96</v>
      </c>
      <c r="D190" s="11" t="s">
        <v>26</v>
      </c>
      <c r="E190" s="11" t="s">
        <v>430</v>
      </c>
      <c r="F190" s="11" t="s">
        <v>52</v>
      </c>
      <c r="G190" s="13" t="n">
        <v>3339</v>
      </c>
      <c r="H190" s="14" t="n">
        <v>101.181</v>
      </c>
      <c r="I190" s="14" t="n">
        <v>101.022</v>
      </c>
    </row>
    <row r="191" customFormat="false" ht="15" hidden="false" customHeight="false" outlineLevel="0" collapsed="false">
      <c r="A191" s="11" t="s">
        <v>431</v>
      </c>
      <c r="B191" s="12" t="n">
        <v>46293</v>
      </c>
      <c r="C191" s="11" t="s">
        <v>60</v>
      </c>
      <c r="D191" s="11" t="s">
        <v>24</v>
      </c>
      <c r="E191" s="11" t="s">
        <v>432</v>
      </c>
      <c r="F191" s="11" t="s">
        <v>56</v>
      </c>
      <c r="G191" s="13" t="n">
        <v>7607</v>
      </c>
      <c r="H191" s="14" t="n">
        <v>210.48</v>
      </c>
      <c r="I191" s="14" t="n">
        <v>211.15</v>
      </c>
    </row>
    <row r="192" customFormat="false" ht="15" hidden="false" customHeight="false" outlineLevel="0" collapsed="false">
      <c r="A192" s="11" t="s">
        <v>433</v>
      </c>
      <c r="B192" s="12" t="n">
        <v>46293</v>
      </c>
      <c r="C192" s="11" t="s">
        <v>46</v>
      </c>
      <c r="D192" s="11" t="s">
        <v>25</v>
      </c>
      <c r="E192" s="11" t="s">
        <v>434</v>
      </c>
      <c r="F192" s="11" t="s">
        <v>48</v>
      </c>
      <c r="G192" s="13" t="n">
        <v>17692</v>
      </c>
      <c r="H192" s="14" t="n">
        <v>97.618</v>
      </c>
      <c r="I192" s="14" t="n">
        <v>97.414</v>
      </c>
    </row>
    <row r="193" customFormat="false" ht="15" hidden="false" customHeight="false" outlineLevel="0" collapsed="false">
      <c r="A193" s="11" t="s">
        <v>435</v>
      </c>
      <c r="B193" s="12" t="n">
        <v>46293</v>
      </c>
      <c r="C193" s="11" t="s">
        <v>96</v>
      </c>
      <c r="D193" s="11" t="s">
        <v>26</v>
      </c>
      <c r="E193" s="11" t="s">
        <v>436</v>
      </c>
      <c r="F193" s="11" t="s">
        <v>52</v>
      </c>
      <c r="G193" s="13" t="n">
        <v>7260</v>
      </c>
      <c r="H193" s="14" t="n">
        <v>100.133</v>
      </c>
      <c r="I193" s="14" t="n">
        <v>100.25</v>
      </c>
    </row>
    <row r="194" customFormat="false" ht="15" hidden="false" customHeight="false" outlineLevel="0" collapsed="false">
      <c r="A194" s="11" t="s">
        <v>437</v>
      </c>
      <c r="B194" s="12" t="n">
        <v>46293</v>
      </c>
      <c r="C194" s="11" t="s">
        <v>50</v>
      </c>
      <c r="D194" s="11" t="s">
        <v>25</v>
      </c>
      <c r="E194" s="11" t="s">
        <v>438</v>
      </c>
      <c r="F194" s="11" t="s">
        <v>52</v>
      </c>
      <c r="G194" s="13" t="n">
        <v>9559</v>
      </c>
      <c r="H194" s="14" t="n">
        <v>106.033</v>
      </c>
      <c r="I194" s="14" t="n">
        <v>106.231</v>
      </c>
    </row>
    <row r="195" customFormat="false" ht="15" hidden="false" customHeight="false" outlineLevel="0" collapsed="false">
      <c r="A195" s="11" t="s">
        <v>439</v>
      </c>
      <c r="B195" s="12" t="n">
        <v>46293</v>
      </c>
      <c r="C195" s="11" t="s">
        <v>46</v>
      </c>
      <c r="D195" s="11" t="s">
        <v>25</v>
      </c>
      <c r="E195" s="11" t="s">
        <v>440</v>
      </c>
      <c r="F195" s="11" t="s">
        <v>48</v>
      </c>
      <c r="G195" s="13" t="n">
        <v>7498</v>
      </c>
      <c r="H195" s="14" t="n">
        <v>107.064</v>
      </c>
      <c r="I195" s="14" t="n">
        <v>107.333</v>
      </c>
    </row>
    <row r="196" customFormat="false" ht="15" hidden="false" customHeight="false" outlineLevel="0" collapsed="false">
      <c r="A196" s="11" t="s">
        <v>441</v>
      </c>
      <c r="B196" s="12" t="n">
        <v>46293</v>
      </c>
      <c r="C196" s="11" t="s">
        <v>96</v>
      </c>
      <c r="D196" s="11" t="s">
        <v>26</v>
      </c>
      <c r="E196" s="11" t="s">
        <v>442</v>
      </c>
      <c r="F196" s="11" t="s">
        <v>52</v>
      </c>
      <c r="G196" s="13" t="n">
        <v>15490</v>
      </c>
      <c r="H196" s="14" t="n">
        <v>99.764</v>
      </c>
      <c r="I196" s="14" t="n">
        <v>99.834</v>
      </c>
    </row>
    <row r="197" customFormat="false" ht="15" hidden="false" customHeight="false" outlineLevel="0" collapsed="false">
      <c r="A197" s="11" t="s">
        <v>443</v>
      </c>
      <c r="B197" s="12" t="n">
        <v>46293</v>
      </c>
      <c r="C197" s="11" t="s">
        <v>77</v>
      </c>
      <c r="D197" s="11" t="s">
        <v>26</v>
      </c>
      <c r="E197" s="11" t="s">
        <v>444</v>
      </c>
      <c r="F197" s="11" t="s">
        <v>48</v>
      </c>
      <c r="G197" s="13" t="n">
        <v>14189</v>
      </c>
      <c r="H197" s="14" t="n">
        <v>99.513</v>
      </c>
      <c r="I197" s="14" t="n">
        <v>99.993</v>
      </c>
    </row>
    <row r="198" customFormat="false" ht="15" hidden="false" customHeight="false" outlineLevel="0" collapsed="false">
      <c r="A198" s="11" t="s">
        <v>445</v>
      </c>
      <c r="B198" s="12" t="n">
        <v>46293</v>
      </c>
      <c r="C198" s="11" t="s">
        <v>43</v>
      </c>
      <c r="D198" s="11" t="s">
        <v>27</v>
      </c>
      <c r="E198" s="11" t="s">
        <v>446</v>
      </c>
      <c r="F198" s="11" t="s">
        <v>41</v>
      </c>
      <c r="G198" s="13" t="n">
        <v>2888708</v>
      </c>
      <c r="H198" s="14" t="n">
        <v>1.46526</v>
      </c>
      <c r="I198" s="14" t="n">
        <v>1.46765</v>
      </c>
    </row>
    <row r="199" customFormat="false" ht="15" hidden="false" customHeight="false" outlineLevel="0" collapsed="false">
      <c r="A199" s="11" t="s">
        <v>447</v>
      </c>
      <c r="B199" s="12" t="n">
        <v>46293</v>
      </c>
      <c r="C199" s="11" t="s">
        <v>77</v>
      </c>
      <c r="D199" s="11" t="s">
        <v>26</v>
      </c>
      <c r="E199" s="11" t="s">
        <v>448</v>
      </c>
      <c r="F199" s="11" t="s">
        <v>48</v>
      </c>
      <c r="G199" s="13" t="n">
        <v>7670</v>
      </c>
      <c r="H199" s="14" t="n">
        <v>102.08</v>
      </c>
      <c r="I199" s="14" t="n">
        <v>101.991</v>
      </c>
    </row>
    <row r="200" customFormat="false" ht="15" hidden="false" customHeight="false" outlineLevel="0" collapsed="false">
      <c r="A200" s="11" t="s">
        <v>449</v>
      </c>
      <c r="B200" s="12" t="n">
        <v>46293</v>
      </c>
      <c r="C200" s="11" t="s">
        <v>50</v>
      </c>
      <c r="D200" s="11" t="s">
        <v>344</v>
      </c>
      <c r="E200" s="11" t="s">
        <v>450</v>
      </c>
      <c r="F200" s="11" t="s">
        <v>52</v>
      </c>
      <c r="G200" s="13" t="n">
        <v>3274</v>
      </c>
      <c r="H200" s="14" t="n">
        <v>92.379</v>
      </c>
      <c r="I200" s="14" t="n">
        <v>92.307</v>
      </c>
    </row>
    <row r="201" customFormat="false" ht="15" hidden="false" customHeight="false" outlineLevel="0" collapsed="false">
      <c r="A201" s="11" t="s">
        <v>451</v>
      </c>
      <c r="B201" s="12" t="n">
        <v>46293</v>
      </c>
      <c r="C201" s="11" t="s">
        <v>50</v>
      </c>
      <c r="D201" s="11" t="s">
        <v>452</v>
      </c>
      <c r="E201" s="11" t="s">
        <v>453</v>
      </c>
      <c r="F201" s="11" t="s">
        <v>52</v>
      </c>
      <c r="G201" s="13" t="n">
        <v>5835</v>
      </c>
      <c r="H201" s="14" t="n">
        <v>103.494</v>
      </c>
      <c r="I201" s="14" t="n">
        <v>103.689</v>
      </c>
    </row>
    <row r="202" customFormat="false" ht="15" hidden="false" customHeight="false" outlineLevel="0" collapsed="false">
      <c r="A202" s="11" t="s">
        <v>454</v>
      </c>
      <c r="B202" s="12" t="n">
        <v>46293</v>
      </c>
      <c r="C202" s="11" t="s">
        <v>39</v>
      </c>
      <c r="D202" s="11" t="s">
        <v>24</v>
      </c>
      <c r="E202" s="11" t="s">
        <v>455</v>
      </c>
      <c r="F202" s="11" t="s">
        <v>41</v>
      </c>
      <c r="G202" s="13" t="n">
        <v>33370</v>
      </c>
      <c r="H202" s="14" t="n">
        <v>255.67</v>
      </c>
      <c r="I202" s="14" t="n">
        <v>257.2</v>
      </c>
    </row>
    <row r="203" customFormat="false" ht="15" hidden="false" customHeight="false" outlineLevel="0" collapsed="false">
      <c r="A203" s="11" t="s">
        <v>456</v>
      </c>
      <c r="B203" s="12" t="n">
        <v>46293</v>
      </c>
      <c r="C203" s="11" t="s">
        <v>46</v>
      </c>
      <c r="D203" s="11" t="s">
        <v>25</v>
      </c>
      <c r="E203" s="11" t="s">
        <v>457</v>
      </c>
      <c r="F203" s="11" t="s">
        <v>48</v>
      </c>
      <c r="G203" s="13" t="n">
        <v>16128</v>
      </c>
      <c r="H203" s="14" t="n">
        <v>94.171</v>
      </c>
      <c r="I203" s="14" t="n">
        <v>94.361</v>
      </c>
    </row>
    <row r="204" customFormat="false" ht="15" hidden="false" customHeight="false" outlineLevel="0" collapsed="false">
      <c r="A204" s="11" t="s">
        <v>458</v>
      </c>
      <c r="B204" s="12" t="n">
        <v>46293</v>
      </c>
      <c r="C204" s="11" t="s">
        <v>60</v>
      </c>
      <c r="D204" s="11" t="s">
        <v>24</v>
      </c>
      <c r="E204" s="11" t="s">
        <v>459</v>
      </c>
      <c r="F204" s="11" t="s">
        <v>56</v>
      </c>
      <c r="G204" s="13" t="n">
        <v>20690</v>
      </c>
      <c r="H204" s="14" t="n">
        <v>207.52</v>
      </c>
      <c r="I204" s="14" t="n">
        <v>208.16</v>
      </c>
    </row>
    <row r="205" customFormat="false" ht="15" hidden="false" customHeight="false" outlineLevel="0" collapsed="false">
      <c r="A205" s="11" t="s">
        <v>460</v>
      </c>
      <c r="B205" s="12" t="n">
        <v>46293</v>
      </c>
      <c r="C205" s="11" t="s">
        <v>60</v>
      </c>
      <c r="D205" s="11" t="s">
        <v>24</v>
      </c>
      <c r="E205" s="11" t="s">
        <v>461</v>
      </c>
      <c r="F205" s="11" t="s">
        <v>56</v>
      </c>
      <c r="G205" s="13" t="n">
        <v>47025</v>
      </c>
      <c r="H205" s="14" t="n">
        <v>177.15</v>
      </c>
      <c r="I205" s="14" t="n">
        <v>177.07</v>
      </c>
    </row>
    <row r="206" customFormat="false" ht="15" hidden="false" customHeight="false" outlineLevel="0" collapsed="false">
      <c r="A206" s="11" t="s">
        <v>462</v>
      </c>
      <c r="B206" s="12" t="n">
        <v>46293</v>
      </c>
      <c r="C206" s="11" t="s">
        <v>54</v>
      </c>
      <c r="D206" s="11" t="s">
        <v>27</v>
      </c>
      <c r="E206" s="11" t="s">
        <v>463</v>
      </c>
      <c r="F206" s="11" t="s">
        <v>56</v>
      </c>
      <c r="G206" s="13" t="n">
        <v>3545831</v>
      </c>
      <c r="H206" s="14" t="n">
        <v>1.58077</v>
      </c>
      <c r="I206" s="14" t="n">
        <v>1.58061</v>
      </c>
    </row>
    <row r="207" customFormat="false" ht="15" hidden="false" customHeight="false" outlineLevel="0" collapsed="false">
      <c r="A207" s="11" t="s">
        <v>464</v>
      </c>
      <c r="B207" s="12" t="n">
        <v>46293</v>
      </c>
      <c r="C207" s="11" t="s">
        <v>43</v>
      </c>
      <c r="D207" s="11" t="s">
        <v>27</v>
      </c>
      <c r="E207" s="11" t="s">
        <v>465</v>
      </c>
      <c r="F207" s="11" t="s">
        <v>41</v>
      </c>
      <c r="G207" s="13" t="n">
        <v>3932216</v>
      </c>
      <c r="H207" s="14" t="n">
        <v>1.29031</v>
      </c>
      <c r="I207" s="14" t="n">
        <v>1.29225</v>
      </c>
    </row>
    <row r="208" customFormat="false" ht="15" hidden="false" customHeight="false" outlineLevel="0" collapsed="false">
      <c r="A208" s="11" t="s">
        <v>466</v>
      </c>
      <c r="B208" s="12" t="n">
        <v>46293</v>
      </c>
      <c r="C208" s="11" t="s">
        <v>43</v>
      </c>
      <c r="D208" s="11" t="s">
        <v>27</v>
      </c>
      <c r="E208" s="11" t="s">
        <v>467</v>
      </c>
      <c r="F208" s="11" t="s">
        <v>41</v>
      </c>
      <c r="G208" s="13" t="n">
        <v>4193200</v>
      </c>
      <c r="H208" s="14" t="n">
        <v>1.2268</v>
      </c>
      <c r="I208" s="14" t="n">
        <v>1.22972</v>
      </c>
    </row>
    <row r="209" customFormat="false" ht="15" hidden="false" customHeight="false" outlineLevel="0" collapsed="false">
      <c r="A209" s="11" t="s">
        <v>468</v>
      </c>
      <c r="B209" s="12" t="n">
        <v>46293</v>
      </c>
      <c r="C209" s="11" t="s">
        <v>50</v>
      </c>
      <c r="D209" s="11" t="s">
        <v>25</v>
      </c>
      <c r="E209" s="11" t="s">
        <v>469</v>
      </c>
      <c r="F209" s="11" t="s">
        <v>52</v>
      </c>
      <c r="G209" s="13" t="n">
        <v>2319</v>
      </c>
      <c r="H209" s="14" t="n">
        <v>107.999</v>
      </c>
      <c r="I209" s="14" t="n">
        <v>108.229</v>
      </c>
    </row>
    <row r="210" customFormat="false" ht="15" hidden="false" customHeight="false" outlineLevel="0" collapsed="false">
      <c r="A210" s="11" t="s">
        <v>470</v>
      </c>
      <c r="B210" s="12" t="n">
        <v>46293</v>
      </c>
      <c r="C210" s="11" t="s">
        <v>43</v>
      </c>
      <c r="D210" s="11" t="s">
        <v>27</v>
      </c>
      <c r="E210" s="11" t="s">
        <v>471</v>
      </c>
      <c r="F210" s="11" t="s">
        <v>41</v>
      </c>
      <c r="G210" s="13" t="n">
        <v>121518</v>
      </c>
      <c r="H210" s="14" t="n">
        <v>0.93988</v>
      </c>
      <c r="I210" s="14" t="n">
        <v>0.93962</v>
      </c>
    </row>
    <row r="211" customFormat="false" ht="15" hidden="false" customHeight="false" outlineLevel="0" collapsed="false">
      <c r="A211" s="11" t="s">
        <v>472</v>
      </c>
      <c r="B211" s="12" t="n">
        <v>46293</v>
      </c>
      <c r="C211" s="11" t="s">
        <v>50</v>
      </c>
      <c r="D211" s="11" t="s">
        <v>344</v>
      </c>
      <c r="E211" s="11" t="s">
        <v>473</v>
      </c>
      <c r="F211" s="11" t="s">
        <v>52</v>
      </c>
      <c r="G211" s="13" t="n">
        <v>15288</v>
      </c>
      <c r="H211" s="14" t="n">
        <v>96.076</v>
      </c>
      <c r="I211" s="14" t="n">
        <v>96.093</v>
      </c>
    </row>
    <row r="212" customFormat="false" ht="15" hidden="false" customHeight="false" outlineLevel="0" collapsed="false">
      <c r="A212" s="11" t="s">
        <v>474</v>
      </c>
      <c r="B212" s="12" t="n">
        <v>46293</v>
      </c>
      <c r="C212" s="11" t="s">
        <v>96</v>
      </c>
      <c r="D212" s="11" t="s">
        <v>26</v>
      </c>
      <c r="E212" s="11" t="s">
        <v>475</v>
      </c>
      <c r="F212" s="11" t="s">
        <v>52</v>
      </c>
      <c r="G212" s="13" t="n">
        <v>18191</v>
      </c>
      <c r="H212" s="14" t="n">
        <v>97.731</v>
      </c>
      <c r="I212" s="14" t="n">
        <v>97.887</v>
      </c>
    </row>
    <row r="213" customFormat="false" ht="15" hidden="false" customHeight="false" outlineLevel="0" collapsed="false">
      <c r="A213" s="11" t="s">
        <v>476</v>
      </c>
      <c r="B213" s="12" t="n">
        <v>46293</v>
      </c>
      <c r="C213" s="11" t="s">
        <v>77</v>
      </c>
      <c r="D213" s="11" t="s">
        <v>26</v>
      </c>
      <c r="E213" s="11" t="s">
        <v>477</v>
      </c>
      <c r="F213" s="11" t="s">
        <v>48</v>
      </c>
      <c r="G213" s="13" t="n">
        <v>2973</v>
      </c>
      <c r="H213" s="14" t="n">
        <v>100.549</v>
      </c>
      <c r="I213" s="14" t="n">
        <v>100.421</v>
      </c>
    </row>
    <row r="214" customFormat="false" ht="15" hidden="false" customHeight="false" outlineLevel="0" collapsed="false">
      <c r="A214" s="11" t="s">
        <v>478</v>
      </c>
      <c r="B214" s="12" t="n">
        <v>46293</v>
      </c>
      <c r="C214" s="11" t="s">
        <v>77</v>
      </c>
      <c r="D214" s="11" t="s">
        <v>341</v>
      </c>
      <c r="E214" s="11" t="s">
        <v>479</v>
      </c>
      <c r="F214" s="11" t="s">
        <v>48</v>
      </c>
      <c r="G214" s="13" t="n">
        <v>7360</v>
      </c>
      <c r="H214" s="14" t="n">
        <v>103.844</v>
      </c>
      <c r="I214" s="14" t="n">
        <v>103.827</v>
      </c>
    </row>
    <row r="215" customFormat="false" ht="15" hidden="false" customHeight="false" outlineLevel="0" collapsed="false">
      <c r="A215" s="11" t="s">
        <v>480</v>
      </c>
      <c r="B215" s="12" t="n">
        <v>46293</v>
      </c>
      <c r="C215" s="11" t="s">
        <v>39</v>
      </c>
      <c r="D215" s="11" t="s">
        <v>24</v>
      </c>
      <c r="E215" s="11" t="s">
        <v>481</v>
      </c>
      <c r="F215" s="11" t="s">
        <v>41</v>
      </c>
      <c r="G215" s="13" t="n">
        <v>29919</v>
      </c>
      <c r="H215" s="14" t="n">
        <v>279.43</v>
      </c>
      <c r="I215" s="14" t="n">
        <v>279.35</v>
      </c>
    </row>
    <row r="216" customFormat="false" ht="15" hidden="false" customHeight="false" outlineLevel="0" collapsed="false">
      <c r="A216" s="11" t="s">
        <v>482</v>
      </c>
      <c r="B216" s="12" t="n">
        <v>46293</v>
      </c>
      <c r="C216" s="11" t="s">
        <v>96</v>
      </c>
      <c r="D216" s="11" t="s">
        <v>26</v>
      </c>
      <c r="E216" s="11" t="s">
        <v>483</v>
      </c>
      <c r="F216" s="11" t="s">
        <v>52</v>
      </c>
      <c r="G216" s="13" t="n">
        <v>11079</v>
      </c>
      <c r="H216" s="14" t="n">
        <v>97.327</v>
      </c>
      <c r="I216" s="14" t="n">
        <v>97.426</v>
      </c>
    </row>
    <row r="217" customFormat="false" ht="15" hidden="false" customHeight="false" outlineLevel="0" collapsed="false">
      <c r="A217" s="11" t="s">
        <v>484</v>
      </c>
      <c r="B217" s="12" t="n">
        <v>46293</v>
      </c>
      <c r="C217" s="11" t="s">
        <v>60</v>
      </c>
      <c r="D217" s="11" t="s">
        <v>24</v>
      </c>
      <c r="E217" s="11" t="s">
        <v>485</v>
      </c>
      <c r="F217" s="11" t="s">
        <v>56</v>
      </c>
      <c r="G217" s="13" t="n">
        <v>49946</v>
      </c>
      <c r="H217" s="14" t="n">
        <v>43.98</v>
      </c>
      <c r="I217" s="14" t="n">
        <v>44.06</v>
      </c>
    </row>
    <row r="218" customFormat="false" ht="15" hidden="false" customHeight="false" outlineLevel="0" collapsed="false">
      <c r="A218" s="11" t="s">
        <v>486</v>
      </c>
      <c r="B218" s="12" t="n">
        <v>46293</v>
      </c>
      <c r="C218" s="11" t="s">
        <v>60</v>
      </c>
      <c r="D218" s="11" t="s">
        <v>24</v>
      </c>
      <c r="E218" s="11" t="s">
        <v>487</v>
      </c>
      <c r="F218" s="11" t="s">
        <v>56</v>
      </c>
      <c r="G218" s="13" t="n">
        <v>37270</v>
      </c>
      <c r="H218" s="14" t="n">
        <v>275.68</v>
      </c>
      <c r="I218" s="14" t="n">
        <v>277</v>
      </c>
    </row>
    <row r="219" customFormat="false" ht="15" hidden="false" customHeight="false" outlineLevel="0" collapsed="false">
      <c r="A219" s="11" t="s">
        <v>488</v>
      </c>
      <c r="B219" s="12" t="n">
        <v>46293</v>
      </c>
      <c r="C219" s="11" t="s">
        <v>50</v>
      </c>
      <c r="D219" s="11" t="s">
        <v>25</v>
      </c>
      <c r="E219" s="11" t="s">
        <v>489</v>
      </c>
      <c r="F219" s="11" t="s">
        <v>52</v>
      </c>
      <c r="G219" s="13" t="n">
        <v>4976</v>
      </c>
      <c r="H219" s="14" t="n">
        <v>100.918</v>
      </c>
      <c r="I219" s="14" t="n">
        <v>101.286</v>
      </c>
    </row>
    <row r="220" customFormat="false" ht="15" hidden="false" customHeight="false" outlineLevel="0" collapsed="false">
      <c r="A220" s="11" t="s">
        <v>490</v>
      </c>
      <c r="B220" s="12" t="n">
        <v>46293</v>
      </c>
      <c r="C220" s="11" t="s">
        <v>39</v>
      </c>
      <c r="D220" s="11" t="s">
        <v>24</v>
      </c>
      <c r="E220" s="11" t="s">
        <v>491</v>
      </c>
      <c r="F220" s="11" t="s">
        <v>41</v>
      </c>
      <c r="G220" s="13" t="n">
        <v>47423</v>
      </c>
      <c r="H220" s="14" t="n">
        <v>20.91</v>
      </c>
      <c r="I220" s="14" t="n">
        <v>20.84</v>
      </c>
    </row>
    <row r="221" customFormat="false" ht="15" hidden="false" customHeight="false" outlineLevel="0" collapsed="false">
      <c r="A221" s="11" t="s">
        <v>492</v>
      </c>
      <c r="B221" s="12" t="n">
        <v>46293</v>
      </c>
      <c r="C221" s="11" t="s">
        <v>96</v>
      </c>
      <c r="D221" s="11" t="s">
        <v>105</v>
      </c>
      <c r="E221" s="11" t="s">
        <v>493</v>
      </c>
      <c r="F221" s="11" t="s">
        <v>52</v>
      </c>
      <c r="G221" s="13" t="n">
        <v>18779</v>
      </c>
      <c r="H221" s="14" t="n">
        <v>101.261</v>
      </c>
      <c r="I221" s="14" t="n">
        <v>101.179</v>
      </c>
    </row>
    <row r="222" customFormat="false" ht="15" hidden="false" customHeight="false" outlineLevel="0" collapsed="false">
      <c r="A222" s="11" t="s">
        <v>494</v>
      </c>
      <c r="B222" s="12" t="n">
        <v>46293</v>
      </c>
      <c r="C222" s="11" t="s">
        <v>46</v>
      </c>
      <c r="D222" s="11" t="s">
        <v>25</v>
      </c>
      <c r="E222" s="11" t="s">
        <v>495</v>
      </c>
      <c r="F222" s="11" t="s">
        <v>48</v>
      </c>
      <c r="G222" s="13" t="n">
        <v>19346</v>
      </c>
      <c r="H222" s="14" t="n">
        <v>95.361</v>
      </c>
      <c r="I222" s="14" t="n">
        <v>95.361</v>
      </c>
    </row>
    <row r="223" customFormat="false" ht="15" hidden="false" customHeight="false" outlineLevel="0" collapsed="false">
      <c r="A223" s="11" t="s">
        <v>496</v>
      </c>
      <c r="B223" s="12" t="n">
        <v>46293</v>
      </c>
      <c r="C223" s="11" t="s">
        <v>43</v>
      </c>
      <c r="D223" s="11" t="s">
        <v>27</v>
      </c>
      <c r="E223" s="11" t="s">
        <v>497</v>
      </c>
      <c r="F223" s="11" t="s">
        <v>41</v>
      </c>
      <c r="G223" s="13" t="n">
        <v>1300558</v>
      </c>
      <c r="H223" s="14" t="n">
        <v>1.51283</v>
      </c>
      <c r="I223" s="14" t="n">
        <v>1.51065</v>
      </c>
    </row>
    <row r="224" customFormat="false" ht="15" hidden="false" customHeight="false" outlineLevel="0" collapsed="false">
      <c r="A224" s="11" t="s">
        <v>498</v>
      </c>
      <c r="B224" s="12" t="n">
        <v>46293</v>
      </c>
      <c r="C224" s="11" t="s">
        <v>43</v>
      </c>
      <c r="D224" s="11" t="s">
        <v>27</v>
      </c>
      <c r="E224" s="11" t="s">
        <v>499</v>
      </c>
      <c r="F224" s="11" t="s">
        <v>41</v>
      </c>
      <c r="G224" s="13" t="n">
        <v>4685197</v>
      </c>
      <c r="H224" s="14" t="n">
        <v>1.50121</v>
      </c>
      <c r="I224" s="14" t="n">
        <v>1.49948</v>
      </c>
    </row>
    <row r="225" customFormat="false" ht="15" hidden="false" customHeight="false" outlineLevel="0" collapsed="false">
      <c r="A225" s="11" t="s">
        <v>500</v>
      </c>
      <c r="B225" s="12" t="n">
        <v>46293</v>
      </c>
      <c r="C225" s="11" t="s">
        <v>77</v>
      </c>
      <c r="D225" s="11" t="s">
        <v>26</v>
      </c>
      <c r="E225" s="11" t="s">
        <v>501</v>
      </c>
      <c r="F225" s="11" t="s">
        <v>48</v>
      </c>
      <c r="G225" s="13" t="n">
        <v>17334</v>
      </c>
      <c r="H225" s="14" t="n">
        <v>99.306</v>
      </c>
      <c r="I225" s="14" t="n">
        <v>99.27</v>
      </c>
    </row>
    <row r="226" customFormat="false" ht="15" hidden="false" customHeight="false" outlineLevel="0" collapsed="false">
      <c r="A226" s="11" t="s">
        <v>502</v>
      </c>
      <c r="B226" s="12" t="n">
        <v>46293</v>
      </c>
      <c r="C226" s="11" t="s">
        <v>46</v>
      </c>
      <c r="D226" s="11" t="s">
        <v>25</v>
      </c>
      <c r="E226" s="11" t="s">
        <v>503</v>
      </c>
      <c r="F226" s="11" t="s">
        <v>48</v>
      </c>
      <c r="G226" s="13" t="n">
        <v>9101</v>
      </c>
      <c r="H226" s="14" t="n">
        <v>96.147</v>
      </c>
      <c r="I226" s="14" t="n">
        <v>96.299</v>
      </c>
    </row>
    <row r="227" customFormat="false" ht="15" hidden="false" customHeight="false" outlineLevel="0" collapsed="false">
      <c r="A227" s="11" t="s">
        <v>504</v>
      </c>
      <c r="B227" s="12" t="n">
        <v>46293</v>
      </c>
      <c r="C227" s="11" t="s">
        <v>54</v>
      </c>
      <c r="D227" s="11" t="s">
        <v>27</v>
      </c>
      <c r="E227" s="11" t="s">
        <v>505</v>
      </c>
      <c r="F227" s="11" t="s">
        <v>56</v>
      </c>
      <c r="G227" s="13" t="n">
        <v>1085377</v>
      </c>
      <c r="H227" s="14" t="n">
        <v>1.06145</v>
      </c>
      <c r="I227" s="14" t="n">
        <v>1.05369</v>
      </c>
    </row>
    <row r="228" customFormat="false" ht="15" hidden="false" customHeight="false" outlineLevel="0" collapsed="false">
      <c r="A228" s="11" t="s">
        <v>506</v>
      </c>
      <c r="B228" s="12" t="n">
        <v>46293</v>
      </c>
      <c r="C228" s="11" t="s">
        <v>60</v>
      </c>
      <c r="D228" s="11" t="s">
        <v>24</v>
      </c>
      <c r="E228" s="11" t="s">
        <v>507</v>
      </c>
      <c r="F228" s="11" t="s">
        <v>56</v>
      </c>
      <c r="G228" s="13" t="n">
        <v>2704</v>
      </c>
      <c r="H228" s="14" t="n">
        <v>182.1</v>
      </c>
      <c r="I228" s="14" t="n">
        <v>186.12</v>
      </c>
    </row>
    <row r="229" customFormat="false" ht="15" hidden="false" customHeight="false" outlineLevel="0" collapsed="false">
      <c r="A229" s="11" t="s">
        <v>508</v>
      </c>
      <c r="B229" s="12" t="n">
        <v>46293</v>
      </c>
      <c r="C229" s="11" t="s">
        <v>60</v>
      </c>
      <c r="D229" s="11" t="s">
        <v>24</v>
      </c>
      <c r="E229" s="11" t="s">
        <v>509</v>
      </c>
      <c r="F229" s="11" t="s">
        <v>56</v>
      </c>
      <c r="G229" s="13" t="n">
        <v>3958</v>
      </c>
      <c r="H229" s="14" t="n">
        <v>184.76</v>
      </c>
      <c r="I229" s="14" t="n">
        <v>183.32</v>
      </c>
    </row>
    <row r="230" customFormat="false" ht="15" hidden="false" customHeight="false" outlineLevel="0" collapsed="false">
      <c r="A230" s="11" t="s">
        <v>510</v>
      </c>
      <c r="B230" s="12" t="n">
        <v>46293</v>
      </c>
      <c r="C230" s="11" t="s">
        <v>54</v>
      </c>
      <c r="D230" s="11" t="s">
        <v>27</v>
      </c>
      <c r="E230" s="11" t="s">
        <v>511</v>
      </c>
      <c r="F230" s="11" t="s">
        <v>56</v>
      </c>
      <c r="G230" s="13" t="n">
        <v>2393654</v>
      </c>
      <c r="H230" s="14" t="n">
        <v>1.09838</v>
      </c>
      <c r="I230" s="14" t="n">
        <v>1.09879</v>
      </c>
    </row>
    <row r="231" customFormat="false" ht="15" hidden="false" customHeight="false" outlineLevel="0" collapsed="false">
      <c r="A231" s="11" t="s">
        <v>512</v>
      </c>
      <c r="B231" s="12" t="n">
        <v>46293</v>
      </c>
      <c r="C231" s="11" t="s">
        <v>39</v>
      </c>
      <c r="D231" s="11" t="s">
        <v>110</v>
      </c>
      <c r="E231" s="11" t="s">
        <v>513</v>
      </c>
      <c r="F231" s="11" t="s">
        <v>41</v>
      </c>
      <c r="G231" s="13" t="n">
        <v>4854</v>
      </c>
      <c r="H231" s="14" t="n">
        <v>280.13</v>
      </c>
      <c r="I231" s="14" t="n">
        <v>278.66</v>
      </c>
    </row>
    <row r="232" customFormat="false" ht="15" hidden="false" customHeight="false" outlineLevel="0" collapsed="false">
      <c r="A232" s="11" t="s">
        <v>514</v>
      </c>
      <c r="B232" s="12" t="n">
        <v>46293</v>
      </c>
      <c r="C232" s="11" t="s">
        <v>50</v>
      </c>
      <c r="D232" s="11" t="s">
        <v>515</v>
      </c>
      <c r="E232" s="11" t="s">
        <v>516</v>
      </c>
      <c r="F232" s="11" t="s">
        <v>52</v>
      </c>
      <c r="G232" s="13" t="n">
        <v>14624</v>
      </c>
      <c r="H232" s="14" t="n">
        <v>93.028</v>
      </c>
      <c r="I232" s="14" t="n">
        <v>93.272</v>
      </c>
    </row>
    <row r="233" customFormat="false" ht="15" hidden="false" customHeight="false" outlineLevel="0" collapsed="false">
      <c r="A233" s="11" t="s">
        <v>517</v>
      </c>
      <c r="B233" s="12" t="n">
        <v>46293</v>
      </c>
      <c r="C233" s="11" t="s">
        <v>50</v>
      </c>
      <c r="D233" s="11" t="s">
        <v>25</v>
      </c>
      <c r="E233" s="11" t="s">
        <v>518</v>
      </c>
      <c r="F233" s="11" t="s">
        <v>52</v>
      </c>
      <c r="G233" s="13" t="n">
        <v>5182</v>
      </c>
      <c r="H233" s="14" t="n">
        <v>105.448</v>
      </c>
      <c r="I233" s="14" t="n">
        <v>105.197</v>
      </c>
    </row>
    <row r="234" customFormat="false" ht="15" hidden="false" customHeight="false" outlineLevel="0" collapsed="false">
      <c r="A234" s="11" t="s">
        <v>519</v>
      </c>
      <c r="B234" s="12" t="n">
        <v>46293</v>
      </c>
      <c r="C234" s="11" t="s">
        <v>43</v>
      </c>
      <c r="D234" s="11" t="s">
        <v>27</v>
      </c>
      <c r="E234" s="11" t="s">
        <v>520</v>
      </c>
      <c r="F234" s="11" t="s">
        <v>41</v>
      </c>
      <c r="G234" s="13" t="n">
        <v>3420259</v>
      </c>
      <c r="H234" s="14" t="n">
        <v>1.59269</v>
      </c>
      <c r="I234" s="14" t="n">
        <v>1.59454</v>
      </c>
    </row>
    <row r="235" customFormat="false" ht="15" hidden="false" customHeight="false" outlineLevel="0" collapsed="false">
      <c r="A235" s="11" t="s">
        <v>521</v>
      </c>
      <c r="B235" s="12" t="n">
        <v>46293</v>
      </c>
      <c r="C235" s="11" t="s">
        <v>43</v>
      </c>
      <c r="D235" s="11" t="s">
        <v>27</v>
      </c>
      <c r="E235" s="11" t="s">
        <v>522</v>
      </c>
      <c r="F235" s="11" t="s">
        <v>41</v>
      </c>
      <c r="G235" s="13" t="n">
        <v>4511997</v>
      </c>
      <c r="H235" s="14" t="n">
        <v>1.4697</v>
      </c>
      <c r="I235" s="14" t="n">
        <v>1.46803</v>
      </c>
    </row>
    <row r="236" customFormat="false" ht="15" hidden="false" customHeight="false" outlineLevel="0" collapsed="false">
      <c r="A236" s="11" t="s">
        <v>523</v>
      </c>
      <c r="B236" s="12" t="n">
        <v>46293</v>
      </c>
      <c r="C236" s="11" t="s">
        <v>50</v>
      </c>
      <c r="D236" s="11" t="s">
        <v>25</v>
      </c>
      <c r="E236" s="11" t="s">
        <v>524</v>
      </c>
      <c r="F236" s="11" t="s">
        <v>52</v>
      </c>
      <c r="G236" s="13" t="n">
        <v>11710</v>
      </c>
      <c r="H236" s="14" t="n">
        <v>92.805</v>
      </c>
      <c r="I236" s="14" t="n">
        <v>92.921</v>
      </c>
    </row>
    <row r="237" customFormat="false" ht="15" hidden="false" customHeight="false" outlineLevel="0" collapsed="false">
      <c r="A237" s="11" t="s">
        <v>525</v>
      </c>
      <c r="B237" s="12" t="n">
        <v>46293</v>
      </c>
      <c r="C237" s="11" t="s">
        <v>43</v>
      </c>
      <c r="D237" s="11" t="s">
        <v>27</v>
      </c>
      <c r="E237" s="11" t="s">
        <v>526</v>
      </c>
      <c r="F237" s="11" t="s">
        <v>41</v>
      </c>
      <c r="G237" s="13" t="n">
        <v>1247387</v>
      </c>
      <c r="H237" s="14" t="n">
        <v>1.27776</v>
      </c>
      <c r="I237" s="14" t="n">
        <v>1.27827</v>
      </c>
    </row>
    <row r="238" customFormat="false" ht="15" hidden="false" customHeight="false" outlineLevel="0" collapsed="false">
      <c r="A238" s="11" t="s">
        <v>527</v>
      </c>
      <c r="B238" s="12" t="n">
        <v>46293</v>
      </c>
      <c r="C238" s="11" t="s">
        <v>43</v>
      </c>
      <c r="D238" s="11" t="s">
        <v>27</v>
      </c>
      <c r="E238" s="11" t="s">
        <v>528</v>
      </c>
      <c r="F238" s="11" t="s">
        <v>41</v>
      </c>
      <c r="G238" s="13" t="n">
        <v>2089825</v>
      </c>
      <c r="H238" s="14" t="n">
        <v>0.79922</v>
      </c>
      <c r="I238" s="14" t="n">
        <v>0.80025</v>
      </c>
    </row>
    <row r="239" customFormat="false" ht="15" hidden="false" customHeight="false" outlineLevel="0" collapsed="false">
      <c r="A239" s="11" t="s">
        <v>529</v>
      </c>
      <c r="B239" s="12" t="n">
        <v>46293</v>
      </c>
      <c r="C239" s="11" t="s">
        <v>39</v>
      </c>
      <c r="D239" s="11" t="s">
        <v>24</v>
      </c>
      <c r="E239" s="11" t="s">
        <v>530</v>
      </c>
      <c r="F239" s="11" t="s">
        <v>41</v>
      </c>
      <c r="G239" s="13" t="n">
        <v>12125</v>
      </c>
      <c r="H239" s="14" t="n">
        <v>59.25</v>
      </c>
      <c r="I239" s="14" t="n">
        <v>60.86</v>
      </c>
    </row>
    <row r="240" customFormat="false" ht="15" hidden="false" customHeight="false" outlineLevel="0" collapsed="false">
      <c r="A240" s="11" t="s">
        <v>531</v>
      </c>
      <c r="B240" s="12" t="n">
        <v>46293</v>
      </c>
      <c r="C240" s="11" t="s">
        <v>39</v>
      </c>
      <c r="D240" s="11" t="s">
        <v>24</v>
      </c>
      <c r="E240" s="11" t="s">
        <v>532</v>
      </c>
      <c r="F240" s="11" t="s">
        <v>41</v>
      </c>
      <c r="G240" s="13" t="n">
        <v>14140</v>
      </c>
      <c r="H240" s="14" t="n">
        <v>39.84</v>
      </c>
      <c r="I240" s="14" t="n">
        <v>39.82</v>
      </c>
    </row>
    <row r="241" customFormat="false" ht="15" hidden="false" customHeight="false" outlineLevel="0" collapsed="false">
      <c r="A241" s="11" t="s">
        <v>533</v>
      </c>
      <c r="B241" s="12" t="n">
        <v>46293</v>
      </c>
      <c r="C241" s="11" t="s">
        <v>46</v>
      </c>
      <c r="D241" s="11" t="s">
        <v>25</v>
      </c>
      <c r="E241" s="11" t="s">
        <v>534</v>
      </c>
      <c r="F241" s="11" t="s">
        <v>48</v>
      </c>
      <c r="G241" s="13" t="n">
        <v>13423</v>
      </c>
      <c r="H241" s="14" t="n">
        <v>103.155</v>
      </c>
      <c r="I241" s="14" t="n">
        <v>103.314</v>
      </c>
    </row>
    <row r="242" customFormat="false" ht="15" hidden="false" customHeight="false" outlineLevel="0" collapsed="false">
      <c r="A242" s="11" t="s">
        <v>535</v>
      </c>
      <c r="B242" s="12" t="n">
        <v>46293</v>
      </c>
      <c r="C242" s="11" t="s">
        <v>96</v>
      </c>
      <c r="D242" s="11" t="s">
        <v>26</v>
      </c>
      <c r="E242" s="11" t="s">
        <v>536</v>
      </c>
      <c r="F242" s="11" t="s">
        <v>52</v>
      </c>
      <c r="G242" s="13" t="n">
        <v>18844</v>
      </c>
      <c r="H242" s="14" t="n">
        <v>99.401</v>
      </c>
      <c r="I242" s="14" t="n">
        <v>99.358</v>
      </c>
    </row>
    <row r="243" customFormat="false" ht="15" hidden="false" customHeight="false" outlineLevel="0" collapsed="false">
      <c r="A243" s="11" t="s">
        <v>537</v>
      </c>
      <c r="B243" s="12" t="n">
        <v>46293</v>
      </c>
      <c r="C243" s="11" t="s">
        <v>50</v>
      </c>
      <c r="D243" s="11" t="s">
        <v>25</v>
      </c>
      <c r="E243" s="11" t="s">
        <v>538</v>
      </c>
      <c r="F243" s="11" t="s">
        <v>52</v>
      </c>
      <c r="G243" s="13" t="n">
        <v>5884</v>
      </c>
      <c r="H243" s="14" t="n">
        <v>93.204</v>
      </c>
      <c r="I243" s="14" t="n">
        <v>93.283</v>
      </c>
    </row>
    <row r="244" customFormat="false" ht="15" hidden="false" customHeight="false" outlineLevel="0" collapsed="false">
      <c r="A244" s="11" t="s">
        <v>539</v>
      </c>
      <c r="B244" s="12" t="n">
        <v>46293</v>
      </c>
      <c r="C244" s="11" t="s">
        <v>39</v>
      </c>
      <c r="D244" s="11" t="s">
        <v>24</v>
      </c>
      <c r="E244" s="11" t="s">
        <v>540</v>
      </c>
      <c r="F244" s="11" t="s">
        <v>41</v>
      </c>
      <c r="G244" s="13" t="n">
        <v>6888</v>
      </c>
      <c r="H244" s="14" t="n">
        <v>280.89</v>
      </c>
      <c r="I244" s="14" t="n">
        <v>281.05</v>
      </c>
    </row>
    <row r="245" customFormat="false" ht="15" hidden="false" customHeight="false" outlineLevel="0" collapsed="false">
      <c r="A245" s="11" t="s">
        <v>541</v>
      </c>
      <c r="B245" s="12" t="n">
        <v>46293</v>
      </c>
      <c r="C245" s="11" t="s">
        <v>54</v>
      </c>
      <c r="D245" s="11" t="s">
        <v>27</v>
      </c>
      <c r="E245" s="11" t="s">
        <v>542</v>
      </c>
      <c r="F245" s="11" t="s">
        <v>56</v>
      </c>
      <c r="G245" s="13" t="n">
        <v>1495568</v>
      </c>
      <c r="H245" s="14" t="n">
        <v>1.36037</v>
      </c>
      <c r="I245" s="14" t="n">
        <v>1.3483</v>
      </c>
    </row>
    <row r="246" customFormat="false" ht="15" hidden="false" customHeight="false" outlineLevel="0" collapsed="false">
      <c r="A246" s="11" t="s">
        <v>543</v>
      </c>
      <c r="B246" s="12" t="n">
        <v>46293</v>
      </c>
      <c r="C246" s="11" t="s">
        <v>39</v>
      </c>
      <c r="D246" s="11" t="s">
        <v>24</v>
      </c>
      <c r="E246" s="11" t="s">
        <v>544</v>
      </c>
      <c r="F246" s="11" t="s">
        <v>41</v>
      </c>
      <c r="G246" s="13" t="n">
        <v>9165</v>
      </c>
      <c r="H246" s="14" t="n">
        <v>121.36</v>
      </c>
      <c r="I246" s="14" t="n">
        <v>121.6</v>
      </c>
    </row>
    <row r="247" customFormat="false" ht="15" hidden="false" customHeight="false" outlineLevel="0" collapsed="false">
      <c r="A247" s="11" t="s">
        <v>545</v>
      </c>
      <c r="B247" s="12" t="n">
        <v>46293</v>
      </c>
      <c r="C247" s="11" t="s">
        <v>60</v>
      </c>
      <c r="D247" s="11" t="s">
        <v>24</v>
      </c>
      <c r="E247" s="11" t="s">
        <v>546</v>
      </c>
      <c r="F247" s="11" t="s">
        <v>56</v>
      </c>
      <c r="G247" s="13" t="n">
        <v>32121</v>
      </c>
      <c r="H247" s="14" t="n">
        <v>187.7</v>
      </c>
      <c r="I247" s="14" t="n">
        <v>188.87</v>
      </c>
    </row>
    <row r="248" customFormat="false" ht="15" hidden="false" customHeight="false" outlineLevel="0" collapsed="false">
      <c r="A248" s="11" t="s">
        <v>547</v>
      </c>
      <c r="B248" s="12" t="n">
        <v>46293</v>
      </c>
      <c r="C248" s="11" t="s">
        <v>96</v>
      </c>
      <c r="D248" s="11" t="s">
        <v>26</v>
      </c>
      <c r="E248" s="11" t="s">
        <v>548</v>
      </c>
      <c r="F248" s="11" t="s">
        <v>52</v>
      </c>
      <c r="G248" s="13" t="n">
        <v>19087</v>
      </c>
      <c r="H248" s="14" t="n">
        <v>97.919</v>
      </c>
      <c r="I248" s="14" t="n">
        <v>97.854</v>
      </c>
    </row>
    <row r="249" customFormat="false" ht="15" hidden="false" customHeight="false" outlineLevel="0" collapsed="false">
      <c r="A249" s="11" t="s">
        <v>549</v>
      </c>
      <c r="B249" s="12" t="n">
        <v>46293</v>
      </c>
      <c r="C249" s="11" t="s">
        <v>46</v>
      </c>
      <c r="D249" s="11" t="s">
        <v>25</v>
      </c>
      <c r="E249" s="11" t="s">
        <v>550</v>
      </c>
      <c r="F249" s="11" t="s">
        <v>48</v>
      </c>
      <c r="G249" s="13" t="n">
        <v>8457</v>
      </c>
      <c r="H249" s="14" t="n">
        <v>96.883</v>
      </c>
      <c r="I249" s="14" t="n">
        <v>97.017</v>
      </c>
    </row>
    <row r="250" customFormat="false" ht="15" hidden="false" customHeight="false" outlineLevel="0" collapsed="false">
      <c r="A250" s="11" t="s">
        <v>551</v>
      </c>
      <c r="B250" s="12" t="n">
        <v>46293</v>
      </c>
      <c r="C250" s="11" t="s">
        <v>50</v>
      </c>
      <c r="D250" s="11" t="s">
        <v>25</v>
      </c>
      <c r="E250" s="11" t="s">
        <v>552</v>
      </c>
      <c r="F250" s="11" t="s">
        <v>52</v>
      </c>
      <c r="G250" s="13" t="n">
        <v>13298</v>
      </c>
      <c r="H250" s="14" t="n">
        <v>106.862</v>
      </c>
      <c r="I250" s="14" t="n">
        <v>107.383</v>
      </c>
    </row>
    <row r="251" customFormat="false" ht="15" hidden="false" customHeight="false" outlineLevel="0" collapsed="false">
      <c r="A251" s="11" t="s">
        <v>553</v>
      </c>
      <c r="B251" s="12" t="n">
        <v>46293</v>
      </c>
      <c r="C251" s="11" t="s">
        <v>39</v>
      </c>
      <c r="D251" s="11" t="s">
        <v>24</v>
      </c>
      <c r="E251" s="11" t="s">
        <v>554</v>
      </c>
      <c r="F251" s="11" t="s">
        <v>41</v>
      </c>
      <c r="G251" s="13" t="n">
        <v>24907</v>
      </c>
      <c r="H251" s="14" t="n">
        <v>246</v>
      </c>
      <c r="I251" s="14" t="n">
        <v>246.19</v>
      </c>
    </row>
    <row r="252" customFormat="false" ht="15" hidden="false" customHeight="false" outlineLevel="0" collapsed="false">
      <c r="A252" s="11" t="s">
        <v>555</v>
      </c>
      <c r="B252" s="12" t="n">
        <v>46293</v>
      </c>
      <c r="C252" s="11" t="s">
        <v>50</v>
      </c>
      <c r="D252" s="11" t="s">
        <v>25</v>
      </c>
      <c r="E252" s="11" t="s">
        <v>556</v>
      </c>
      <c r="F252" s="11" t="s">
        <v>52</v>
      </c>
      <c r="G252" s="13" t="n">
        <v>8361</v>
      </c>
      <c r="H252" s="14" t="n">
        <v>105.095</v>
      </c>
      <c r="I252" s="14" t="n">
        <v>105.092</v>
      </c>
    </row>
    <row r="253" customFormat="false" ht="15" hidden="false" customHeight="false" outlineLevel="0" collapsed="false">
      <c r="A253" s="11" t="s">
        <v>557</v>
      </c>
      <c r="B253" s="12" t="n">
        <v>46293</v>
      </c>
      <c r="C253" s="11" t="s">
        <v>96</v>
      </c>
      <c r="D253" s="11" t="s">
        <v>26</v>
      </c>
      <c r="E253" s="11" t="s">
        <v>558</v>
      </c>
      <c r="F253" s="11" t="s">
        <v>52</v>
      </c>
      <c r="G253" s="13" t="n">
        <v>14380</v>
      </c>
      <c r="H253" s="14" t="n">
        <v>99.76</v>
      </c>
      <c r="I253" s="14"/>
    </row>
    <row r="254" customFormat="false" ht="15" hidden="false" customHeight="false" outlineLevel="0" collapsed="false">
      <c r="A254" s="11" t="s">
        <v>559</v>
      </c>
      <c r="B254" s="12" t="n">
        <v>46293</v>
      </c>
      <c r="C254" s="11" t="s">
        <v>39</v>
      </c>
      <c r="D254" s="11" t="s">
        <v>24</v>
      </c>
      <c r="E254" s="11" t="s">
        <v>560</v>
      </c>
      <c r="F254" s="11" t="s">
        <v>41</v>
      </c>
      <c r="G254" s="13" t="n">
        <v>3429</v>
      </c>
      <c r="H254" s="14" t="n">
        <v>273.49</v>
      </c>
      <c r="I254" s="14" t="n">
        <v>274.29</v>
      </c>
    </row>
    <row r="255" customFormat="false" ht="15" hidden="false" customHeight="false" outlineLevel="0" collapsed="false">
      <c r="A255" s="11" t="s">
        <v>541</v>
      </c>
      <c r="B255" s="12" t="n">
        <v>46293</v>
      </c>
      <c r="C255" s="11" t="s">
        <v>54</v>
      </c>
      <c r="D255" s="11" t="s">
        <v>27</v>
      </c>
      <c r="E255" s="11" t="s">
        <v>542</v>
      </c>
      <c r="F255" s="11" t="s">
        <v>56</v>
      </c>
      <c r="G255" s="13" t="n">
        <v>1495568</v>
      </c>
      <c r="H255" s="14" t="n">
        <v>1.36037</v>
      </c>
      <c r="I255" s="14" t="n">
        <v>1.3483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5" t="s">
        <v>29</v>
      </c>
      <c r="B1" s="5" t="s">
        <v>31</v>
      </c>
      <c r="C1" s="5" t="s">
        <v>561</v>
      </c>
      <c r="D1" s="5" t="s">
        <v>35</v>
      </c>
      <c r="E1" s="5" t="s">
        <v>562</v>
      </c>
      <c r="F1" s="5" t="s">
        <v>563</v>
      </c>
      <c r="G1" s="5" t="s">
        <v>564</v>
      </c>
      <c r="H1" s="5" t="s">
        <v>565</v>
      </c>
      <c r="I1" s="5" t="s">
        <v>566</v>
      </c>
      <c r="J1" s="5" t="s">
        <v>567</v>
      </c>
      <c r="K1" s="5" t="s">
        <v>568</v>
      </c>
      <c r="L1" s="5" t="s">
        <v>569</v>
      </c>
    </row>
    <row r="2" customFormat="false" ht="15" hidden="false" customHeight="false" outlineLevel="0" collapsed="false">
      <c r="A2" s="15" t="str">
        <f aca="false">Raw_Data!A2</f>
        <v>P0001</v>
      </c>
      <c r="B2" s="15" t="str">
        <f aca="false">Raw_Data!C2</f>
        <v>Singapore Equities</v>
      </c>
      <c r="C2" s="11" t="str">
        <f aca="false">IFERROR(INDEX(Thresholds!$A$2:$A$5,MATCH(TRIM(Raw_Data!D2),Thresholds!$A$2:$A$5,0)),"UNMAPPED")</f>
        <v>Equity</v>
      </c>
      <c r="D2" s="16" t="n">
        <f aca="false">Raw_Data!G2</f>
        <v>36166</v>
      </c>
      <c r="E2" s="17" t="n">
        <f aca="false">Raw_Data!H2</f>
        <v>149.54</v>
      </c>
      <c r="F2" s="14" t="n">
        <f aca="false">IF(Raw_Data!I2="","",Raw_Data!I2)</f>
        <v>149.33</v>
      </c>
      <c r="G2" s="18" t="n">
        <f aca="false">IF(F2="","",(E2-F2)/F2)</f>
        <v>0.00140628139020947</v>
      </c>
      <c r="H2" s="19" t="n">
        <f aca="false">IFERROR(INDEX(Thresholds!$B$2:$B$5,MATCH(C2,Thresholds!$A$2:$A$5,0)),"")</f>
        <v>0.01</v>
      </c>
      <c r="I2" s="20" t="n">
        <f aca="false">IF(F2="","",D2*(E2-F2))</f>
        <v>7594.85999999926</v>
      </c>
      <c r="J2" s="11" t="str">
        <f aca="false">IF(C2="UNMAPPED","UNMAPPED ASSET CLASS",IF(F2="","NO INDEPENDENT PRICE",IF(ABS(G2)&gt;H2,"BREACH","OK")))</f>
        <v>OK</v>
      </c>
      <c r="K2" s="11" t="str">
        <f aca="false">IF(COUNTIF(Raw_Data!$A$2:A2,Raw_Data!A2)&gt;1,"DUP","UNIQUE")</f>
        <v>UNIQUE</v>
      </c>
      <c r="L2" s="11" t="str">
        <f aca="false">IF(Raw_Data!B2&lt;&gt;Thresholds!$E$1,"STALE","CURRENT")</f>
        <v>CURRENT</v>
      </c>
    </row>
    <row r="3" customFormat="false" ht="15" hidden="false" customHeight="false" outlineLevel="0" collapsed="false">
      <c r="A3" s="15" t="str">
        <f aca="false">Raw_Data!A3</f>
        <v>P0002</v>
      </c>
      <c r="B3" s="15" t="str">
        <f aca="false">Raw_Data!C3</f>
        <v>Singapore FX</v>
      </c>
      <c r="C3" s="11" t="str">
        <f aca="false">IFERROR(INDEX(Thresholds!$A$2:$A$5,MATCH(TRIM(Raw_Data!D3),Thresholds!$A$2:$A$5,0)),"UNMAPPED")</f>
        <v>FX Forward</v>
      </c>
      <c r="D3" s="16" t="n">
        <f aca="false">Raw_Data!G3</f>
        <v>4061266</v>
      </c>
      <c r="E3" s="17" t="n">
        <f aca="false">Raw_Data!H3</f>
        <v>1.43472</v>
      </c>
      <c r="F3" s="14" t="n">
        <f aca="false">IF(Raw_Data!I3="","",Raw_Data!I3)</f>
        <v>1.43723</v>
      </c>
      <c r="G3" s="18" t="n">
        <f aca="false">IF(F3="","",(E3-F3)/F3)</f>
        <v>-0.00174641497881342</v>
      </c>
      <c r="H3" s="19" t="n">
        <f aca="false">IFERROR(INDEX(Thresholds!$B$2:$B$5,MATCH(C3,Thresholds!$A$2:$A$5,0)),"")</f>
        <v>0.003</v>
      </c>
      <c r="I3" s="20" t="n">
        <f aca="false">IF(F3="","",D3*(E3-F3))</f>
        <v>-10193.77766</v>
      </c>
      <c r="J3" s="11" t="str">
        <f aca="false">IF(C3="UNMAPPED","UNMAPPED ASSET CLASS",IF(F3="","NO INDEPENDENT PRICE",IF(ABS(G3)&gt;H3,"BREACH","OK")))</f>
        <v>OK</v>
      </c>
      <c r="K3" s="11" t="str">
        <f aca="false">IF(COUNTIF(Raw_Data!$A$2:A3,Raw_Data!A3)&gt;1,"DUP","UNIQUE")</f>
        <v>UNIQUE</v>
      </c>
      <c r="L3" s="11" t="str">
        <f aca="false">IF(Raw_Data!B3&lt;&gt;Thresholds!$E$1,"STALE","CURRENT")</f>
        <v>CURRENT</v>
      </c>
    </row>
    <row r="4" customFormat="false" ht="15" hidden="false" customHeight="false" outlineLevel="0" collapsed="false">
      <c r="A4" s="15" t="str">
        <f aca="false">Raw_Data!A4</f>
        <v>P0003</v>
      </c>
      <c r="B4" s="15" t="str">
        <f aca="false">Raw_Data!C4</f>
        <v>New York Credit</v>
      </c>
      <c r="C4" s="11" t="str">
        <f aca="false">IFERROR(INDEX(Thresholds!$A$2:$A$5,MATCH(TRIM(Raw_Data!D4),Thresholds!$A$2:$A$5,0)),"UNMAPPED")</f>
        <v>Corporate Bond</v>
      </c>
      <c r="D4" s="16" t="n">
        <f aca="false">Raw_Data!G4</f>
        <v>15502</v>
      </c>
      <c r="E4" s="17" t="n">
        <f aca="false">Raw_Data!H4</f>
        <v>107.201</v>
      </c>
      <c r="F4" s="14" t="n">
        <f aca="false">IF(Raw_Data!I4="","",Raw_Data!I4)</f>
        <v>107.128</v>
      </c>
      <c r="G4" s="18" t="n">
        <f aca="false">IF(F4="","",(E4-F4)/F4)</f>
        <v>0.00068142782465829</v>
      </c>
      <c r="H4" s="19" t="n">
        <f aca="false">IFERROR(INDEX(Thresholds!$B$2:$B$5,MATCH(C4,Thresholds!$A$2:$A$5,0)),"")</f>
        <v>0.005</v>
      </c>
      <c r="I4" s="20" t="n">
        <f aca="false">IF(F4="","",D4*(E4-F4))</f>
        <v>1131.6459999999</v>
      </c>
      <c r="J4" s="11" t="str">
        <f aca="false">IF(C4="UNMAPPED","UNMAPPED ASSET CLASS",IF(F4="","NO INDEPENDENT PRICE",IF(ABS(G4)&gt;H4,"BREACH","OK")))</f>
        <v>OK</v>
      </c>
      <c r="K4" s="11" t="str">
        <f aca="false">IF(COUNTIF(Raw_Data!$A$2:A4,Raw_Data!A4)&gt;1,"DUP","UNIQUE")</f>
        <v>UNIQUE</v>
      </c>
      <c r="L4" s="11" t="str">
        <f aca="false">IF(Raw_Data!B4&lt;&gt;Thresholds!$E$1,"STALE","CURRENT")</f>
        <v>CURRENT</v>
      </c>
    </row>
    <row r="5" customFormat="false" ht="15" hidden="false" customHeight="false" outlineLevel="0" collapsed="false">
      <c r="A5" s="15" t="str">
        <f aca="false">Raw_Data!A5</f>
        <v>P0004</v>
      </c>
      <c r="B5" s="15" t="str">
        <f aca="false">Raw_Data!C5</f>
        <v>London Credit</v>
      </c>
      <c r="C5" s="11" t="str">
        <f aca="false">IFERROR(INDEX(Thresholds!$A$2:$A$5,MATCH(TRIM(Raw_Data!D5),Thresholds!$A$2:$A$5,0)),"UNMAPPED")</f>
        <v>Corporate Bond</v>
      </c>
      <c r="D5" s="16" t="n">
        <f aca="false">Raw_Data!G5</f>
        <v>1316</v>
      </c>
      <c r="E5" s="17" t="n">
        <f aca="false">Raw_Data!H5</f>
        <v>103.86</v>
      </c>
      <c r="F5" s="14" t="n">
        <f aca="false">IF(Raw_Data!I5="","",Raw_Data!I5)</f>
        <v>104.121</v>
      </c>
      <c r="G5" s="18" t="n">
        <f aca="false">IF(F5="","",(E5-F5)/F5)</f>
        <v>-0.00250669893681386</v>
      </c>
      <c r="H5" s="19" t="n">
        <f aca="false">IFERROR(INDEX(Thresholds!$B$2:$B$5,MATCH(C5,Thresholds!$A$2:$A$5,0)),"")</f>
        <v>0.005</v>
      </c>
      <c r="I5" s="20" t="n">
        <f aca="false">IF(F5="","",D5*(E5-F5))</f>
        <v>-343.475999999994</v>
      </c>
      <c r="J5" s="11" t="str">
        <f aca="false">IF(C5="UNMAPPED","UNMAPPED ASSET CLASS",IF(F5="","NO INDEPENDENT PRICE",IF(ABS(G5)&gt;H5,"BREACH","OK")))</f>
        <v>OK</v>
      </c>
      <c r="K5" s="11" t="str">
        <f aca="false">IF(COUNTIF(Raw_Data!$A$2:A5,Raw_Data!A5)&gt;1,"DUP","UNIQUE")</f>
        <v>UNIQUE</v>
      </c>
      <c r="L5" s="11" t="str">
        <f aca="false">IF(Raw_Data!B5&lt;&gt;Thresholds!$E$1,"STALE","CURRENT")</f>
        <v>CURRENT</v>
      </c>
    </row>
    <row r="6" customFormat="false" ht="15" hidden="false" customHeight="false" outlineLevel="0" collapsed="false">
      <c r="A6" s="15" t="str">
        <f aca="false">Raw_Data!A6</f>
        <v>P0005</v>
      </c>
      <c r="B6" s="15" t="str">
        <f aca="false">Raw_Data!C6</f>
        <v>Zurich FX</v>
      </c>
      <c r="C6" s="11" t="str">
        <f aca="false">IFERROR(INDEX(Thresholds!$A$2:$A$5,MATCH(TRIM(Raw_Data!D6),Thresholds!$A$2:$A$5,0)),"UNMAPPED")</f>
        <v>FX Forward</v>
      </c>
      <c r="D6" s="16" t="n">
        <f aca="false">Raw_Data!G6</f>
        <v>4847348</v>
      </c>
      <c r="E6" s="17" t="n">
        <f aca="false">Raw_Data!H6</f>
        <v>1.13117</v>
      </c>
      <c r="F6" s="14" t="n">
        <f aca="false">IF(Raw_Data!I6="","",Raw_Data!I6)</f>
        <v>1.12959</v>
      </c>
      <c r="G6" s="18" t="n">
        <f aca="false">IF(F6="","",(E6-F6)/F6)</f>
        <v>0.00139873759505654</v>
      </c>
      <c r="H6" s="19" t="n">
        <f aca="false">IFERROR(INDEX(Thresholds!$B$2:$B$5,MATCH(C6,Thresholds!$A$2:$A$5,0)),"")</f>
        <v>0.003</v>
      </c>
      <c r="I6" s="20" t="n">
        <f aca="false">IF(F6="","",D6*(E6-F6))</f>
        <v>7658.80983999959</v>
      </c>
      <c r="J6" s="11" t="str">
        <f aca="false">IF(C6="UNMAPPED","UNMAPPED ASSET CLASS",IF(F6="","NO INDEPENDENT PRICE",IF(ABS(G6)&gt;H6,"BREACH","OK")))</f>
        <v>OK</v>
      </c>
      <c r="K6" s="11" t="str">
        <f aca="false">IF(COUNTIF(Raw_Data!$A$2:A6,Raw_Data!A6)&gt;1,"DUP","UNIQUE")</f>
        <v>UNIQUE</v>
      </c>
      <c r="L6" s="11" t="str">
        <f aca="false">IF(Raw_Data!B6&lt;&gt;Thresholds!$E$1,"STALE","CURRENT")</f>
        <v>CURRENT</v>
      </c>
    </row>
    <row r="7" customFormat="false" ht="15" hidden="false" customHeight="false" outlineLevel="0" collapsed="false">
      <c r="A7" s="15" t="str">
        <f aca="false">Raw_Data!A7</f>
        <v>P0006</v>
      </c>
      <c r="B7" s="15" t="str">
        <f aca="false">Raw_Data!C7</f>
        <v>Singapore FX</v>
      </c>
      <c r="C7" s="11" t="str">
        <f aca="false">IFERROR(INDEX(Thresholds!$A$2:$A$5,MATCH(TRIM(Raw_Data!D7),Thresholds!$A$2:$A$5,0)),"UNMAPPED")</f>
        <v>FX Forward</v>
      </c>
      <c r="D7" s="16" t="n">
        <f aca="false">Raw_Data!G7</f>
        <v>1694942</v>
      </c>
      <c r="E7" s="17" t="n">
        <f aca="false">Raw_Data!H7</f>
        <v>0.819</v>
      </c>
      <c r="F7" s="14" t="n">
        <f aca="false">IF(Raw_Data!I7="","",Raw_Data!I7)</f>
        <v>0.82022</v>
      </c>
      <c r="G7" s="18" t="n">
        <f aca="false">IF(F7="","",(E7-F7)/F7)</f>
        <v>-0.00148740581795128</v>
      </c>
      <c r="H7" s="19" t="n">
        <f aca="false">IFERROR(INDEX(Thresholds!$B$2:$B$5,MATCH(C7,Thresholds!$A$2:$A$5,0)),"")</f>
        <v>0.003</v>
      </c>
      <c r="I7" s="20" t="n">
        <f aca="false">IF(F7="","",D7*(E7-F7))</f>
        <v>-2067.82924</v>
      </c>
      <c r="J7" s="11" t="str">
        <f aca="false">IF(C7="UNMAPPED","UNMAPPED ASSET CLASS",IF(F7="","NO INDEPENDENT PRICE",IF(ABS(G7)&gt;H7,"BREACH","OK")))</f>
        <v>OK</v>
      </c>
      <c r="K7" s="11" t="str">
        <f aca="false">IF(COUNTIF(Raw_Data!$A$2:A7,Raw_Data!A7)&gt;1,"DUP","UNIQUE")</f>
        <v>UNIQUE</v>
      </c>
      <c r="L7" s="11" t="str">
        <f aca="false">IF(Raw_Data!B7&lt;&gt;Thresholds!$E$1,"STALE","CURRENT")</f>
        <v>CURRENT</v>
      </c>
    </row>
    <row r="8" customFormat="false" ht="15" hidden="false" customHeight="false" outlineLevel="0" collapsed="false">
      <c r="A8" s="15" t="str">
        <f aca="false">Raw_Data!A8</f>
        <v>P0007</v>
      </c>
      <c r="B8" s="15" t="str">
        <f aca="false">Raw_Data!C8</f>
        <v>Zurich Equities</v>
      </c>
      <c r="C8" s="11" t="str">
        <f aca="false">IFERROR(INDEX(Thresholds!$A$2:$A$5,MATCH(TRIM(Raw_Data!D8),Thresholds!$A$2:$A$5,0)),"UNMAPPED")</f>
        <v>Equity</v>
      </c>
      <c r="D8" s="16" t="n">
        <f aca="false">Raw_Data!G8</f>
        <v>47824</v>
      </c>
      <c r="E8" s="17" t="n">
        <f aca="false">Raw_Data!H8</f>
        <v>36.97</v>
      </c>
      <c r="F8" s="14" t="n">
        <f aca="false">IF(Raw_Data!I8="","",Raw_Data!I8)</f>
        <v>37.02</v>
      </c>
      <c r="G8" s="18" t="n">
        <f aca="false">IF(F8="","",(E8-F8)/F8)</f>
        <v>-0.00135062128579158</v>
      </c>
      <c r="H8" s="19" t="n">
        <f aca="false">IFERROR(INDEX(Thresholds!$B$2:$B$5,MATCH(C8,Thresholds!$A$2:$A$5,0)),"")</f>
        <v>0.01</v>
      </c>
      <c r="I8" s="20" t="n">
        <f aca="false">IF(F8="","",D8*(E8-F8))</f>
        <v>-2391.2000000002</v>
      </c>
      <c r="J8" s="11" t="str">
        <f aca="false">IF(C8="UNMAPPED","UNMAPPED ASSET CLASS",IF(F8="","NO INDEPENDENT PRICE",IF(ABS(G8)&gt;H8,"BREACH","OK")))</f>
        <v>OK</v>
      </c>
      <c r="K8" s="11" t="str">
        <f aca="false">IF(COUNTIF(Raw_Data!$A$2:A8,Raw_Data!A8)&gt;1,"DUP","UNIQUE")</f>
        <v>UNIQUE</v>
      </c>
      <c r="L8" s="11" t="str">
        <f aca="false">IF(Raw_Data!B8&lt;&gt;Thresholds!$E$1,"STALE","CURRENT")</f>
        <v>CURRENT</v>
      </c>
    </row>
    <row r="9" customFormat="false" ht="15" hidden="false" customHeight="false" outlineLevel="0" collapsed="false">
      <c r="A9" s="15" t="str">
        <f aca="false">Raw_Data!A9</f>
        <v>P0008</v>
      </c>
      <c r="B9" s="15" t="str">
        <f aca="false">Raw_Data!C9</f>
        <v>New York Credit</v>
      </c>
      <c r="C9" s="11" t="str">
        <f aca="false">IFERROR(INDEX(Thresholds!$A$2:$A$5,MATCH(TRIM(Raw_Data!D9),Thresholds!$A$2:$A$5,0)),"UNMAPPED")</f>
        <v>Corporate Bond</v>
      </c>
      <c r="D9" s="16" t="n">
        <f aca="false">Raw_Data!G9</f>
        <v>1904</v>
      </c>
      <c r="E9" s="17" t="n">
        <f aca="false">Raw_Data!H9</f>
        <v>102.872</v>
      </c>
      <c r="F9" s="14" t="n">
        <f aca="false">IF(Raw_Data!I9="","",Raw_Data!I9)</f>
        <v>102.744</v>
      </c>
      <c r="G9" s="18" t="n">
        <f aca="false">IF(F9="","",(E9-F9)/F9)</f>
        <v>0.00124581484076929</v>
      </c>
      <c r="H9" s="19" t="n">
        <f aca="false">IFERROR(INDEX(Thresholds!$B$2:$B$5,MATCH(C9,Thresholds!$A$2:$A$5,0)),"")</f>
        <v>0.005</v>
      </c>
      <c r="I9" s="20" t="n">
        <f aca="false">IF(F9="","",D9*(E9-F9))</f>
        <v>243.712</v>
      </c>
      <c r="J9" s="11" t="str">
        <f aca="false">IF(C9="UNMAPPED","UNMAPPED ASSET CLASS",IF(F9="","NO INDEPENDENT PRICE",IF(ABS(G9)&gt;H9,"BREACH","OK")))</f>
        <v>OK</v>
      </c>
      <c r="K9" s="11" t="str">
        <f aca="false">IF(COUNTIF(Raw_Data!$A$2:A9,Raw_Data!A9)&gt;1,"DUP","UNIQUE")</f>
        <v>UNIQUE</v>
      </c>
      <c r="L9" s="11" t="str">
        <f aca="false">IF(Raw_Data!B9&lt;&gt;Thresholds!$E$1,"STALE","CURRENT")</f>
        <v>CURRENT</v>
      </c>
    </row>
    <row r="10" customFormat="false" ht="15" hidden="false" customHeight="false" outlineLevel="0" collapsed="false">
      <c r="A10" s="15" t="str">
        <f aca="false">Raw_Data!A10</f>
        <v>P0009</v>
      </c>
      <c r="B10" s="15" t="str">
        <f aca="false">Raw_Data!C10</f>
        <v>London Credit</v>
      </c>
      <c r="C10" s="11" t="str">
        <f aca="false">IFERROR(INDEX(Thresholds!$A$2:$A$5,MATCH(TRIM(Raw_Data!D10),Thresholds!$A$2:$A$5,0)),"UNMAPPED")</f>
        <v>Corporate Bond</v>
      </c>
      <c r="D10" s="16" t="n">
        <f aca="false">Raw_Data!G10</f>
        <v>4748</v>
      </c>
      <c r="E10" s="17" t="n">
        <f aca="false">Raw_Data!H10</f>
        <v>101.941</v>
      </c>
      <c r="F10" s="14" t="n">
        <f aca="false">IF(Raw_Data!I10="","",Raw_Data!I10)</f>
        <v>101.92</v>
      </c>
      <c r="G10" s="18" t="n">
        <f aca="false">IF(F10="","",(E10-F10)/F10)</f>
        <v>0.000206043956043964</v>
      </c>
      <c r="H10" s="19" t="n">
        <f aca="false">IFERROR(INDEX(Thresholds!$B$2:$B$5,MATCH(C10,Thresholds!$A$2:$A$5,0)),"")</f>
        <v>0.005</v>
      </c>
      <c r="I10" s="20" t="n">
        <f aca="false">IF(F10="","",D10*(E10-F10))</f>
        <v>99.7080000000038</v>
      </c>
      <c r="J10" s="11" t="str">
        <f aca="false">IF(C10="UNMAPPED","UNMAPPED ASSET CLASS",IF(F10="","NO INDEPENDENT PRICE",IF(ABS(G10)&gt;H10,"BREACH","OK")))</f>
        <v>OK</v>
      </c>
      <c r="K10" s="11" t="str">
        <f aca="false">IF(COUNTIF(Raw_Data!$A$2:A10,Raw_Data!A10)&gt;1,"DUP","UNIQUE")</f>
        <v>UNIQUE</v>
      </c>
      <c r="L10" s="11" t="str">
        <f aca="false">IF(Raw_Data!B10&lt;&gt;Thresholds!$E$1,"STALE","CURRENT")</f>
        <v>CURRENT</v>
      </c>
    </row>
    <row r="11" customFormat="false" ht="15" hidden="false" customHeight="false" outlineLevel="0" collapsed="false">
      <c r="A11" s="15" t="str">
        <f aca="false">Raw_Data!A11</f>
        <v>P0010</v>
      </c>
      <c r="B11" s="15" t="str">
        <f aca="false">Raw_Data!C11</f>
        <v>Zurich Equities</v>
      </c>
      <c r="C11" s="11" t="str">
        <f aca="false">IFERROR(INDEX(Thresholds!$A$2:$A$5,MATCH(TRIM(Raw_Data!D11),Thresholds!$A$2:$A$5,0)),"UNMAPPED")</f>
        <v>Equity</v>
      </c>
      <c r="D11" s="16" t="n">
        <f aca="false">Raw_Data!G11</f>
        <v>23319</v>
      </c>
      <c r="E11" s="17" t="n">
        <f aca="false">Raw_Data!H11</f>
        <v>204.52</v>
      </c>
      <c r="F11" s="14" t="n">
        <f aca="false">IF(Raw_Data!I11="","",Raw_Data!I11)</f>
        <v>204.34</v>
      </c>
      <c r="G11" s="18" t="n">
        <f aca="false">IF(F11="","",(E11-F11)/F11)</f>
        <v>0.000880884799843432</v>
      </c>
      <c r="H11" s="19" t="n">
        <f aca="false">IFERROR(INDEX(Thresholds!$B$2:$B$5,MATCH(C11,Thresholds!$A$2:$A$5,0)),"")</f>
        <v>0.01</v>
      </c>
      <c r="I11" s="20" t="n">
        <f aca="false">IF(F11="","",D11*(E11-F11))</f>
        <v>4197.42000000016</v>
      </c>
      <c r="J11" s="11" t="str">
        <f aca="false">IF(C11="UNMAPPED","UNMAPPED ASSET CLASS",IF(F11="","NO INDEPENDENT PRICE",IF(ABS(G11)&gt;H11,"BREACH","OK")))</f>
        <v>OK</v>
      </c>
      <c r="K11" s="11" t="str">
        <f aca="false">IF(COUNTIF(Raw_Data!$A$2:A11,Raw_Data!A11)&gt;1,"DUP","UNIQUE")</f>
        <v>UNIQUE</v>
      </c>
      <c r="L11" s="11" t="str">
        <f aca="false">IF(Raw_Data!B11&lt;&gt;Thresholds!$E$1,"STALE","CURRENT")</f>
        <v>CURRENT</v>
      </c>
    </row>
    <row r="12" customFormat="false" ht="15" hidden="false" customHeight="false" outlineLevel="0" collapsed="false">
      <c r="A12" s="15" t="str">
        <f aca="false">Raw_Data!A12</f>
        <v>P0011</v>
      </c>
      <c r="B12" s="15" t="str">
        <f aca="false">Raw_Data!C12</f>
        <v>Singapore FX</v>
      </c>
      <c r="C12" s="11" t="str">
        <f aca="false">IFERROR(INDEX(Thresholds!$A$2:$A$5,MATCH(TRIM(Raw_Data!D12),Thresholds!$A$2:$A$5,0)),"UNMAPPED")</f>
        <v>FX Forward</v>
      </c>
      <c r="D12" s="16" t="n">
        <f aca="false">Raw_Data!G12</f>
        <v>1309263</v>
      </c>
      <c r="E12" s="17" t="n">
        <f aca="false">Raw_Data!H12</f>
        <v>0.61535</v>
      </c>
      <c r="F12" s="14" t="n">
        <f aca="false">IF(Raw_Data!I12="","",Raw_Data!I12)</f>
        <v>0.61606</v>
      </c>
      <c r="G12" s="18" t="n">
        <f aca="false">IF(F12="","",(E12-F12)/F12)</f>
        <v>-0.00115248514755072</v>
      </c>
      <c r="H12" s="19" t="n">
        <f aca="false">IFERROR(INDEX(Thresholds!$B$2:$B$5,MATCH(C12,Thresholds!$A$2:$A$5,0)),"")</f>
        <v>0.003</v>
      </c>
      <c r="I12" s="20" t="n">
        <f aca="false">IF(F12="","",D12*(E12-F12))</f>
        <v>-929.57673000013</v>
      </c>
      <c r="J12" s="11" t="str">
        <f aca="false">IF(C12="UNMAPPED","UNMAPPED ASSET CLASS",IF(F12="","NO INDEPENDENT PRICE",IF(ABS(G12)&gt;H12,"BREACH","OK")))</f>
        <v>OK</v>
      </c>
      <c r="K12" s="11" t="str">
        <f aca="false">IF(COUNTIF(Raw_Data!$A$2:A12,Raw_Data!A12)&gt;1,"DUP","UNIQUE")</f>
        <v>UNIQUE</v>
      </c>
      <c r="L12" s="11" t="str">
        <f aca="false">IF(Raw_Data!B12&lt;&gt;Thresholds!$E$1,"STALE","CURRENT")</f>
        <v>CURRENT</v>
      </c>
    </row>
    <row r="13" customFormat="false" ht="15" hidden="false" customHeight="false" outlineLevel="0" collapsed="false">
      <c r="A13" s="15" t="str">
        <f aca="false">Raw_Data!A13</f>
        <v>P0012</v>
      </c>
      <c r="B13" s="15" t="str">
        <f aca="false">Raw_Data!C13</f>
        <v>New York Credit</v>
      </c>
      <c r="C13" s="11" t="str">
        <f aca="false">IFERROR(INDEX(Thresholds!$A$2:$A$5,MATCH(TRIM(Raw_Data!D13),Thresholds!$A$2:$A$5,0)),"UNMAPPED")</f>
        <v>Corporate Bond</v>
      </c>
      <c r="D13" s="16" t="n">
        <f aca="false">Raw_Data!G13</f>
        <v>15488</v>
      </c>
      <c r="E13" s="17" t="n">
        <f aca="false">Raw_Data!H13</f>
        <v>99.44</v>
      </c>
      <c r="F13" s="14" t="n">
        <f aca="false">IF(Raw_Data!I13="","",Raw_Data!I13)</f>
        <v>99.439</v>
      </c>
      <c r="G13" s="18" t="n">
        <f aca="false">IF(F13="","",(E13-F13)/F13)</f>
        <v>1.00564164965936E-005</v>
      </c>
      <c r="H13" s="19" t="n">
        <f aca="false">IFERROR(INDEX(Thresholds!$B$2:$B$5,MATCH(C13,Thresholds!$A$2:$A$5,0)),"")</f>
        <v>0.005</v>
      </c>
      <c r="I13" s="20" t="n">
        <f aca="false">IF(F13="","",D13*(E13-F13))</f>
        <v>15.488000000074</v>
      </c>
      <c r="J13" s="11" t="str">
        <f aca="false">IF(C13="UNMAPPED","UNMAPPED ASSET CLASS",IF(F13="","NO INDEPENDENT PRICE",IF(ABS(G13)&gt;H13,"BREACH","OK")))</f>
        <v>OK</v>
      </c>
      <c r="K13" s="11" t="str">
        <f aca="false">IF(COUNTIF(Raw_Data!$A$2:A13,Raw_Data!A13)&gt;1,"DUP","UNIQUE")</f>
        <v>UNIQUE</v>
      </c>
      <c r="L13" s="11" t="str">
        <f aca="false">IF(Raw_Data!B13&lt;&gt;Thresholds!$E$1,"STALE","CURRENT")</f>
        <v>CURRENT</v>
      </c>
    </row>
    <row r="14" customFormat="false" ht="15" hidden="false" customHeight="false" outlineLevel="0" collapsed="false">
      <c r="A14" s="15" t="str">
        <f aca="false">Raw_Data!A14</f>
        <v>P0013</v>
      </c>
      <c r="B14" s="15" t="str">
        <f aca="false">Raw_Data!C14</f>
        <v>London Credit</v>
      </c>
      <c r="C14" s="11" t="str">
        <f aca="false">IFERROR(INDEX(Thresholds!$A$2:$A$5,MATCH(TRIM(Raw_Data!D14),Thresholds!$A$2:$A$5,0)),"UNMAPPED")</f>
        <v>Corporate Bond</v>
      </c>
      <c r="D14" s="16" t="n">
        <f aca="false">Raw_Data!G14</f>
        <v>11885</v>
      </c>
      <c r="E14" s="17" t="n">
        <f aca="false">Raw_Data!H14</f>
        <v>94.87</v>
      </c>
      <c r="F14" s="14" t="n">
        <f aca="false">IF(Raw_Data!I14="","",Raw_Data!I14)</f>
        <v>94.935</v>
      </c>
      <c r="G14" s="18" t="n">
        <f aca="false">IF(F14="","",(E14-F14)/F14)</f>
        <v>-0.000684678990888479</v>
      </c>
      <c r="H14" s="19" t="n">
        <f aca="false">IFERROR(INDEX(Thresholds!$B$2:$B$5,MATCH(C14,Thresholds!$A$2:$A$5,0)),"")</f>
        <v>0.005</v>
      </c>
      <c r="I14" s="20" t="n">
        <f aca="false">IF(F14="","",D14*(E14-F14))</f>
        <v>-772.524999999973</v>
      </c>
      <c r="J14" s="11" t="str">
        <f aca="false">IF(C14="UNMAPPED","UNMAPPED ASSET CLASS",IF(F14="","NO INDEPENDENT PRICE",IF(ABS(G14)&gt;H14,"BREACH","OK")))</f>
        <v>OK</v>
      </c>
      <c r="K14" s="11" t="str">
        <f aca="false">IF(COUNTIF(Raw_Data!$A$2:A14,Raw_Data!A14)&gt;1,"DUP","UNIQUE")</f>
        <v>UNIQUE</v>
      </c>
      <c r="L14" s="11" t="str">
        <f aca="false">IF(Raw_Data!B14&lt;&gt;Thresholds!$E$1,"STALE","CURRENT")</f>
        <v>CURRENT</v>
      </c>
    </row>
    <row r="15" customFormat="false" ht="15" hidden="false" customHeight="false" outlineLevel="0" collapsed="false">
      <c r="A15" s="15" t="str">
        <f aca="false">Raw_Data!A15</f>
        <v>P0014</v>
      </c>
      <c r="B15" s="15" t="str">
        <f aca="false">Raw_Data!C15</f>
        <v>Singapore Equities</v>
      </c>
      <c r="C15" s="11" t="str">
        <f aca="false">IFERROR(INDEX(Thresholds!$A$2:$A$5,MATCH(TRIM(Raw_Data!D15),Thresholds!$A$2:$A$5,0)),"UNMAPPED")</f>
        <v>Equity</v>
      </c>
      <c r="D15" s="16" t="n">
        <f aca="false">Raw_Data!G15</f>
        <v>9250</v>
      </c>
      <c r="E15" s="17" t="n">
        <f aca="false">Raw_Data!H15</f>
        <v>60</v>
      </c>
      <c r="F15" s="14" t="n">
        <f aca="false">IF(Raw_Data!I15="","",Raw_Data!I15)</f>
        <v>61.38</v>
      </c>
      <c r="G15" s="18" t="n">
        <f aca="false">IF(F15="","",(E15-F15)/F15)</f>
        <v>-0.0224828934506354</v>
      </c>
      <c r="H15" s="19" t="n">
        <f aca="false">IFERROR(INDEX(Thresholds!$B$2:$B$5,MATCH(C15,Thresholds!$A$2:$A$5,0)),"")</f>
        <v>0.01</v>
      </c>
      <c r="I15" s="20" t="n">
        <f aca="false">IF(F15="","",D15*(E15-F15))</f>
        <v>-12765</v>
      </c>
      <c r="J15" s="11" t="str">
        <f aca="false">IF(C15="UNMAPPED","UNMAPPED ASSET CLASS",IF(F15="","NO INDEPENDENT PRICE",IF(ABS(G15)&gt;H15,"BREACH","OK")))</f>
        <v>BREACH</v>
      </c>
      <c r="K15" s="11" t="str">
        <f aca="false">IF(COUNTIF(Raw_Data!$A$2:A15,Raw_Data!A15)&gt;1,"DUP","UNIQUE")</f>
        <v>UNIQUE</v>
      </c>
      <c r="L15" s="11" t="str">
        <f aca="false">IF(Raw_Data!B15&lt;&gt;Thresholds!$E$1,"STALE","CURRENT")</f>
        <v>CURRENT</v>
      </c>
    </row>
    <row r="16" customFormat="false" ht="15" hidden="false" customHeight="false" outlineLevel="0" collapsed="false">
      <c r="A16" s="15" t="str">
        <f aca="false">Raw_Data!A16</f>
        <v>P0007</v>
      </c>
      <c r="B16" s="15" t="str">
        <f aca="false">Raw_Data!C16</f>
        <v>Zurich Equities</v>
      </c>
      <c r="C16" s="11" t="str">
        <f aca="false">IFERROR(INDEX(Thresholds!$A$2:$A$5,MATCH(TRIM(Raw_Data!D16),Thresholds!$A$2:$A$5,0)),"UNMAPPED")</f>
        <v>Equity</v>
      </c>
      <c r="D16" s="16" t="n">
        <f aca="false">Raw_Data!G16</f>
        <v>47824</v>
      </c>
      <c r="E16" s="17" t="n">
        <f aca="false">Raw_Data!H16</f>
        <v>36.97</v>
      </c>
      <c r="F16" s="14" t="n">
        <f aca="false">IF(Raw_Data!I16="","",Raw_Data!I16)</f>
        <v>37.02</v>
      </c>
      <c r="G16" s="18" t="n">
        <f aca="false">IF(F16="","",(E16-F16)/F16)</f>
        <v>-0.00135062128579158</v>
      </c>
      <c r="H16" s="19" t="n">
        <f aca="false">IFERROR(INDEX(Thresholds!$B$2:$B$5,MATCH(C16,Thresholds!$A$2:$A$5,0)),"")</f>
        <v>0.01</v>
      </c>
      <c r="I16" s="20" t="n">
        <f aca="false">IF(F16="","",D16*(E16-F16))</f>
        <v>-2391.2000000002</v>
      </c>
      <c r="J16" s="11" t="str">
        <f aca="false">IF(C16="UNMAPPED","UNMAPPED ASSET CLASS",IF(F16="","NO INDEPENDENT PRICE",IF(ABS(G16)&gt;H16,"BREACH","OK")))</f>
        <v>OK</v>
      </c>
      <c r="K16" s="11" t="str">
        <f aca="false">IF(COUNTIF(Raw_Data!$A$2:A16,Raw_Data!A16)&gt;1,"DUP","UNIQUE")</f>
        <v>DUP</v>
      </c>
      <c r="L16" s="11" t="str">
        <f aca="false">IF(Raw_Data!B16&lt;&gt;Thresholds!$E$1,"STALE","CURRENT")</f>
        <v>CURRENT</v>
      </c>
    </row>
    <row r="17" customFormat="false" ht="15" hidden="false" customHeight="false" outlineLevel="0" collapsed="false">
      <c r="A17" s="15" t="str">
        <f aca="false">Raw_Data!A17</f>
        <v>P0015</v>
      </c>
      <c r="B17" s="15" t="str">
        <f aca="false">Raw_Data!C17</f>
        <v>New York Rates</v>
      </c>
      <c r="C17" s="11" t="str">
        <f aca="false">IFERROR(INDEX(Thresholds!$A$2:$A$5,MATCH(TRIM(Raw_Data!D17),Thresholds!$A$2:$A$5,0)),"UNMAPPED")</f>
        <v>Government Bond</v>
      </c>
      <c r="D17" s="16" t="n">
        <f aca="false">Raw_Data!G17</f>
        <v>14122</v>
      </c>
      <c r="E17" s="17" t="n">
        <f aca="false">Raw_Data!H17</f>
        <v>98.306</v>
      </c>
      <c r="F17" s="14" t="n">
        <f aca="false">IF(Raw_Data!I17="","",Raw_Data!I17)</f>
        <v>98.27</v>
      </c>
      <c r="G17" s="18" t="n">
        <f aca="false">IF(F17="","",(E17-F17)/F17)</f>
        <v>0.000366337641192646</v>
      </c>
      <c r="H17" s="19" t="n">
        <f aca="false">IFERROR(INDEX(Thresholds!$B$2:$B$5,MATCH(C17,Thresholds!$A$2:$A$5,0)),"")</f>
        <v>0.0025</v>
      </c>
      <c r="I17" s="20" t="n">
        <f aca="false">IF(F17="","",D17*(E17-F17))</f>
        <v>508.392000000019</v>
      </c>
      <c r="J17" s="11" t="str">
        <f aca="false">IF(C17="UNMAPPED","UNMAPPED ASSET CLASS",IF(F17="","NO INDEPENDENT PRICE",IF(ABS(G17)&gt;H17,"BREACH","OK")))</f>
        <v>OK</v>
      </c>
      <c r="K17" s="11" t="str">
        <f aca="false">IF(COUNTIF(Raw_Data!$A$2:A17,Raw_Data!A17)&gt;1,"DUP","UNIQUE")</f>
        <v>UNIQUE</v>
      </c>
      <c r="L17" s="11" t="str">
        <f aca="false">IF(Raw_Data!B17&lt;&gt;Thresholds!$E$1,"STALE","CURRENT")</f>
        <v>CURRENT</v>
      </c>
    </row>
    <row r="18" customFormat="false" ht="15" hidden="false" customHeight="false" outlineLevel="0" collapsed="false">
      <c r="A18" s="15" t="str">
        <f aca="false">Raw_Data!A18</f>
        <v>P0016</v>
      </c>
      <c r="B18" s="15" t="str">
        <f aca="false">Raw_Data!C18</f>
        <v>London Credit</v>
      </c>
      <c r="C18" s="11" t="str">
        <f aca="false">IFERROR(INDEX(Thresholds!$A$2:$A$5,MATCH(TRIM(Raw_Data!D18),Thresholds!$A$2:$A$5,0)),"UNMAPPED")</f>
        <v>Corporate Bond</v>
      </c>
      <c r="D18" s="16" t="n">
        <f aca="false">Raw_Data!G18</f>
        <v>14510</v>
      </c>
      <c r="E18" s="17" t="n">
        <f aca="false">Raw_Data!H18</f>
        <v>105.834</v>
      </c>
      <c r="F18" s="14" t="n">
        <f aca="false">IF(Raw_Data!I18="","",Raw_Data!I18)</f>
        <v>105.359</v>
      </c>
      <c r="G18" s="18" t="n">
        <f aca="false">IF(F18="","",(E18-F18)/F18)</f>
        <v>0.00450839510625584</v>
      </c>
      <c r="H18" s="19" t="n">
        <f aca="false">IFERROR(INDEX(Thresholds!$B$2:$B$5,MATCH(C18,Thresholds!$A$2:$A$5,0)),"")</f>
        <v>0.005</v>
      </c>
      <c r="I18" s="20" t="n">
        <f aca="false">IF(F18="","",D18*(E18-F18))</f>
        <v>6892.25000000012</v>
      </c>
      <c r="J18" s="11" t="str">
        <f aca="false">IF(C18="UNMAPPED","UNMAPPED ASSET CLASS",IF(F18="","NO INDEPENDENT PRICE",IF(ABS(G18)&gt;H18,"BREACH","OK")))</f>
        <v>OK</v>
      </c>
      <c r="K18" s="11" t="str">
        <f aca="false">IF(COUNTIF(Raw_Data!$A$2:A18,Raw_Data!A18)&gt;1,"DUP","UNIQUE")</f>
        <v>UNIQUE</v>
      </c>
      <c r="L18" s="11" t="str">
        <f aca="false">IF(Raw_Data!B18&lt;&gt;Thresholds!$E$1,"STALE","CURRENT")</f>
        <v>CURRENT</v>
      </c>
    </row>
    <row r="19" customFormat="false" ht="15" hidden="false" customHeight="false" outlineLevel="0" collapsed="false">
      <c r="A19" s="15" t="str">
        <f aca="false">Raw_Data!A19</f>
        <v>P0017</v>
      </c>
      <c r="B19" s="15" t="str">
        <f aca="false">Raw_Data!C19</f>
        <v>London Credit</v>
      </c>
      <c r="C19" s="11" t="str">
        <f aca="false">IFERROR(INDEX(Thresholds!$A$2:$A$5,MATCH(TRIM(Raw_Data!D19),Thresholds!$A$2:$A$5,0)),"UNMAPPED")</f>
        <v>Corporate Bond</v>
      </c>
      <c r="D19" s="16" t="n">
        <f aca="false">Raw_Data!G19</f>
        <v>3750</v>
      </c>
      <c r="E19" s="17" t="n">
        <f aca="false">Raw_Data!H19</f>
        <v>106.511</v>
      </c>
      <c r="F19" s="14" t="n">
        <f aca="false">IF(Raw_Data!I19="","",Raw_Data!I19)</f>
        <v>106.841</v>
      </c>
      <c r="G19" s="18" t="n">
        <f aca="false">IF(F19="","",(E19-F19)/F19)</f>
        <v>-0.00308870190282755</v>
      </c>
      <c r="H19" s="19" t="n">
        <f aca="false">IFERROR(INDEX(Thresholds!$B$2:$B$5,MATCH(C19,Thresholds!$A$2:$A$5,0)),"")</f>
        <v>0.005</v>
      </c>
      <c r="I19" s="20" t="n">
        <f aca="false">IF(F19="","",D19*(E19-F19))</f>
        <v>-1237.49999999999</v>
      </c>
      <c r="J19" s="11" t="str">
        <f aca="false">IF(C19="UNMAPPED","UNMAPPED ASSET CLASS",IF(F19="","NO INDEPENDENT PRICE",IF(ABS(G19)&gt;H19,"BREACH","OK")))</f>
        <v>OK</v>
      </c>
      <c r="K19" s="11" t="str">
        <f aca="false">IF(COUNTIF(Raw_Data!$A$2:A19,Raw_Data!A19)&gt;1,"DUP","UNIQUE")</f>
        <v>UNIQUE</v>
      </c>
      <c r="L19" s="11" t="str">
        <f aca="false">IF(Raw_Data!B19&lt;&gt;Thresholds!$E$1,"STALE","CURRENT")</f>
        <v>CURRENT</v>
      </c>
    </row>
    <row r="20" customFormat="false" ht="15" hidden="false" customHeight="false" outlineLevel="0" collapsed="false">
      <c r="A20" s="15" t="str">
        <f aca="false">Raw_Data!A20</f>
        <v>P0018</v>
      </c>
      <c r="B20" s="15" t="str">
        <f aca="false">Raw_Data!C20</f>
        <v>Zurich Equities</v>
      </c>
      <c r="C20" s="11" t="str">
        <f aca="false">IFERROR(INDEX(Thresholds!$A$2:$A$5,MATCH(TRIM(Raw_Data!D20),Thresholds!$A$2:$A$5,0)),"UNMAPPED")</f>
        <v>Equity</v>
      </c>
      <c r="D20" s="16" t="n">
        <f aca="false">Raw_Data!G20</f>
        <v>4590</v>
      </c>
      <c r="E20" s="17" t="n">
        <f aca="false">Raw_Data!H20</f>
        <v>258.38</v>
      </c>
      <c r="F20" s="14" t="n">
        <f aca="false">IF(Raw_Data!I20="","",Raw_Data!I20)</f>
        <v>258.99</v>
      </c>
      <c r="G20" s="18" t="n">
        <f aca="false">IF(F20="","",(E20-F20)/F20)</f>
        <v>-0.00235530329356351</v>
      </c>
      <c r="H20" s="19" t="n">
        <f aca="false">IFERROR(INDEX(Thresholds!$B$2:$B$5,MATCH(C20,Thresholds!$A$2:$A$5,0)),"")</f>
        <v>0.01</v>
      </c>
      <c r="I20" s="20" t="n">
        <f aca="false">IF(F20="","",D20*(E20-F20))</f>
        <v>-2799.90000000006</v>
      </c>
      <c r="J20" s="11" t="str">
        <f aca="false">IF(C20="UNMAPPED","UNMAPPED ASSET CLASS",IF(F20="","NO INDEPENDENT PRICE",IF(ABS(G20)&gt;H20,"BREACH","OK")))</f>
        <v>OK</v>
      </c>
      <c r="K20" s="11" t="str">
        <f aca="false">IF(COUNTIF(Raw_Data!$A$2:A20,Raw_Data!A20)&gt;1,"DUP","UNIQUE")</f>
        <v>UNIQUE</v>
      </c>
      <c r="L20" s="11" t="str">
        <f aca="false">IF(Raw_Data!B20&lt;&gt;Thresholds!$E$1,"STALE","CURRENT")</f>
        <v>CURRENT</v>
      </c>
    </row>
    <row r="21" customFormat="false" ht="15" hidden="false" customHeight="false" outlineLevel="0" collapsed="false">
      <c r="A21" s="15" t="str">
        <f aca="false">Raw_Data!A21</f>
        <v>P0019</v>
      </c>
      <c r="B21" s="15" t="str">
        <f aca="false">Raw_Data!C21</f>
        <v>New York Rates</v>
      </c>
      <c r="C21" s="11" t="str">
        <f aca="false">IFERROR(INDEX(Thresholds!$A$2:$A$5,MATCH(TRIM(Raw_Data!D21),Thresholds!$A$2:$A$5,0)),"UNMAPPED")</f>
        <v>Government Bond</v>
      </c>
      <c r="D21" s="16" t="n">
        <f aca="false">Raw_Data!G21</f>
        <v>13092</v>
      </c>
      <c r="E21" s="17" t="n">
        <f aca="false">Raw_Data!H21</f>
        <v>101.312</v>
      </c>
      <c r="F21" s="14" t="n">
        <f aca="false">IF(Raw_Data!I21="","",Raw_Data!I21)</f>
        <v>101.272</v>
      </c>
      <c r="G21" s="18" t="n">
        <f aca="false">IF(F21="","",(E21-F21)/F21)</f>
        <v>0.000394975906469627</v>
      </c>
      <c r="H21" s="19" t="n">
        <f aca="false">IFERROR(INDEX(Thresholds!$B$2:$B$5,MATCH(C21,Thresholds!$A$2:$A$5,0)),"")</f>
        <v>0.0025</v>
      </c>
      <c r="I21" s="20" t="n">
        <f aca="false">IF(F21="","",D21*(E21-F21))</f>
        <v>523.679999999896</v>
      </c>
      <c r="J21" s="11" t="str">
        <f aca="false">IF(C21="UNMAPPED","UNMAPPED ASSET CLASS",IF(F21="","NO INDEPENDENT PRICE",IF(ABS(G21)&gt;H21,"BREACH","OK")))</f>
        <v>OK</v>
      </c>
      <c r="K21" s="11" t="str">
        <f aca="false">IF(COUNTIF(Raw_Data!$A$2:A21,Raw_Data!A21)&gt;1,"DUP","UNIQUE")</f>
        <v>UNIQUE</v>
      </c>
      <c r="L21" s="11" t="str">
        <f aca="false">IF(Raw_Data!B21&lt;&gt;Thresholds!$E$1,"STALE","CURRENT")</f>
        <v>CURRENT</v>
      </c>
    </row>
    <row r="22" customFormat="false" ht="15" hidden="false" customHeight="false" outlineLevel="0" collapsed="false">
      <c r="A22" s="15" t="str">
        <f aca="false">Raw_Data!A22</f>
        <v>P0020</v>
      </c>
      <c r="B22" s="15" t="str">
        <f aca="false">Raw_Data!C22</f>
        <v>Singapore Equities</v>
      </c>
      <c r="C22" s="11" t="str">
        <f aca="false">IFERROR(INDEX(Thresholds!$A$2:$A$5,MATCH(TRIM(Raw_Data!D22),Thresholds!$A$2:$A$5,0)),"UNMAPPED")</f>
        <v>Equity</v>
      </c>
      <c r="D22" s="16" t="n">
        <f aca="false">Raw_Data!G22</f>
        <v>35246</v>
      </c>
      <c r="E22" s="17" t="n">
        <f aca="false">Raw_Data!H22</f>
        <v>244.17</v>
      </c>
      <c r="F22" s="14" t="n">
        <f aca="false">IF(Raw_Data!I22="","",Raw_Data!I22)</f>
        <v>243.56</v>
      </c>
      <c r="G22" s="18" t="n">
        <f aca="false">IF(F22="","",(E22-F22)/F22)</f>
        <v>0.00250451634094262</v>
      </c>
      <c r="H22" s="19" t="n">
        <f aca="false">IFERROR(INDEX(Thresholds!$B$2:$B$5,MATCH(C22,Thresholds!$A$2:$A$5,0)),"")</f>
        <v>0.01</v>
      </c>
      <c r="I22" s="20" t="n">
        <f aca="false">IF(F22="","",D22*(E22-F22))</f>
        <v>21500.0599999995</v>
      </c>
      <c r="J22" s="11" t="str">
        <f aca="false">IF(C22="UNMAPPED","UNMAPPED ASSET CLASS",IF(F22="","NO INDEPENDENT PRICE",IF(ABS(G22)&gt;H22,"BREACH","OK")))</f>
        <v>OK</v>
      </c>
      <c r="K22" s="11" t="str">
        <f aca="false">IF(COUNTIF(Raw_Data!$A$2:A22,Raw_Data!A22)&gt;1,"DUP","UNIQUE")</f>
        <v>UNIQUE</v>
      </c>
      <c r="L22" s="11" t="str">
        <f aca="false">IF(Raw_Data!B22&lt;&gt;Thresholds!$E$1,"STALE","CURRENT")</f>
        <v>CURRENT</v>
      </c>
    </row>
    <row r="23" customFormat="false" ht="15" hidden="false" customHeight="false" outlineLevel="0" collapsed="false">
      <c r="A23" s="15" t="str">
        <f aca="false">Raw_Data!A23</f>
        <v>P0021</v>
      </c>
      <c r="B23" s="15" t="str">
        <f aca="false">Raw_Data!C23</f>
        <v>New York Credit</v>
      </c>
      <c r="C23" s="11" t="str">
        <f aca="false">IFERROR(INDEX(Thresholds!$A$2:$A$5,MATCH(TRIM(Raw_Data!D23),Thresholds!$A$2:$A$5,0)),"UNMAPPED")</f>
        <v>Corporate Bond</v>
      </c>
      <c r="D23" s="16" t="n">
        <f aca="false">Raw_Data!G23</f>
        <v>6064</v>
      </c>
      <c r="E23" s="17" t="n">
        <f aca="false">Raw_Data!H23</f>
        <v>107.581</v>
      </c>
      <c r="F23" s="14" t="n">
        <f aca="false">IF(Raw_Data!I23="","",Raw_Data!I23)</f>
        <v>107.456</v>
      </c>
      <c r="G23" s="18" t="n">
        <f aca="false">IF(F23="","",(E23-F23)/F23)</f>
        <v>0.00116326682549136</v>
      </c>
      <c r="H23" s="19" t="n">
        <f aca="false">IFERROR(INDEX(Thresholds!$B$2:$B$5,MATCH(C23,Thresholds!$A$2:$A$5,0)),"")</f>
        <v>0.005</v>
      </c>
      <c r="I23" s="20" t="n">
        <f aca="false">IF(F23="","",D23*(E23-F23))</f>
        <v>758</v>
      </c>
      <c r="J23" s="11" t="str">
        <f aca="false">IF(C23="UNMAPPED","UNMAPPED ASSET CLASS",IF(F23="","NO INDEPENDENT PRICE",IF(ABS(G23)&gt;H23,"BREACH","OK")))</f>
        <v>OK</v>
      </c>
      <c r="K23" s="11" t="str">
        <f aca="false">IF(COUNTIF(Raw_Data!$A$2:A23,Raw_Data!A23)&gt;1,"DUP","UNIQUE")</f>
        <v>UNIQUE</v>
      </c>
      <c r="L23" s="11" t="str">
        <f aca="false">IF(Raw_Data!B23&lt;&gt;Thresholds!$E$1,"STALE","CURRENT")</f>
        <v>CURRENT</v>
      </c>
    </row>
    <row r="24" customFormat="false" ht="15" hidden="false" customHeight="false" outlineLevel="0" collapsed="false">
      <c r="A24" s="15" t="str">
        <f aca="false">Raw_Data!A24</f>
        <v>P0022</v>
      </c>
      <c r="B24" s="15" t="str">
        <f aca="false">Raw_Data!C24</f>
        <v>New York Credit</v>
      </c>
      <c r="C24" s="11" t="str">
        <f aca="false">IFERROR(INDEX(Thresholds!$A$2:$A$5,MATCH(TRIM(Raw_Data!D24),Thresholds!$A$2:$A$5,0)),"UNMAPPED")</f>
        <v>Corporate Bond</v>
      </c>
      <c r="D24" s="16" t="n">
        <f aca="false">Raw_Data!G24</f>
        <v>13423</v>
      </c>
      <c r="E24" s="17" t="n">
        <f aca="false">Raw_Data!H24</f>
        <v>104.18</v>
      </c>
      <c r="F24" s="14" t="n">
        <f aca="false">IF(Raw_Data!I24="","",Raw_Data!I24)</f>
        <v>104.056</v>
      </c>
      <c r="G24" s="18" t="n">
        <f aca="false">IF(F24="","",(E24-F24)/F24)</f>
        <v>0.0011916660259861</v>
      </c>
      <c r="H24" s="19" t="n">
        <f aca="false">IFERROR(INDEX(Thresholds!$B$2:$B$5,MATCH(C24,Thresholds!$A$2:$A$5,0)),"")</f>
        <v>0.005</v>
      </c>
      <c r="I24" s="20" t="n">
        <f aca="false">IF(F24="","",D24*(E24-F24))</f>
        <v>1664.45200000013</v>
      </c>
      <c r="J24" s="11" t="str">
        <f aca="false">IF(C24="UNMAPPED","UNMAPPED ASSET CLASS",IF(F24="","NO INDEPENDENT PRICE",IF(ABS(G24)&gt;H24,"BREACH","OK")))</f>
        <v>OK</v>
      </c>
      <c r="K24" s="11" t="str">
        <f aca="false">IF(COUNTIF(Raw_Data!$A$2:A24,Raw_Data!A24)&gt;1,"DUP","UNIQUE")</f>
        <v>UNIQUE</v>
      </c>
      <c r="L24" s="11" t="str">
        <f aca="false">IF(Raw_Data!B24&lt;&gt;Thresholds!$E$1,"STALE","CURRENT")</f>
        <v>CURRENT</v>
      </c>
    </row>
    <row r="25" customFormat="false" ht="15" hidden="false" customHeight="false" outlineLevel="0" collapsed="false">
      <c r="A25" s="15" t="str">
        <f aca="false">Raw_Data!A25</f>
        <v>P0023</v>
      </c>
      <c r="B25" s="15" t="str">
        <f aca="false">Raw_Data!C25</f>
        <v>London Credit</v>
      </c>
      <c r="C25" s="11" t="str">
        <f aca="false">IFERROR(INDEX(Thresholds!$A$2:$A$5,MATCH(TRIM(Raw_Data!D25),Thresholds!$A$2:$A$5,0)),"UNMAPPED")</f>
        <v>Corporate Bond</v>
      </c>
      <c r="D25" s="16" t="n">
        <f aca="false">Raw_Data!G25</f>
        <v>9943</v>
      </c>
      <c r="E25" s="17" t="n">
        <f aca="false">Raw_Data!H25</f>
        <v>99.812</v>
      </c>
      <c r="F25" s="14" t="n">
        <f aca="false">IF(Raw_Data!I25="","",Raw_Data!I25)</f>
        <v>100.306</v>
      </c>
      <c r="G25" s="18" t="n">
        <f aca="false">IF(F25="","",(E25-F25)/F25)</f>
        <v>-0.00492492971507188</v>
      </c>
      <c r="H25" s="19" t="n">
        <f aca="false">IFERROR(INDEX(Thresholds!$B$2:$B$5,MATCH(C25,Thresholds!$A$2:$A$5,0)),"")</f>
        <v>0.005</v>
      </c>
      <c r="I25" s="20" t="n">
        <f aca="false">IF(F25="","",D25*(E25-F25))</f>
        <v>-4911.842</v>
      </c>
      <c r="J25" s="11" t="str">
        <f aca="false">IF(C25="UNMAPPED","UNMAPPED ASSET CLASS",IF(F25="","NO INDEPENDENT PRICE",IF(ABS(G25)&gt;H25,"BREACH","OK")))</f>
        <v>OK</v>
      </c>
      <c r="K25" s="11" t="str">
        <f aca="false">IF(COUNTIF(Raw_Data!$A$2:A25,Raw_Data!A25)&gt;1,"DUP","UNIQUE")</f>
        <v>UNIQUE</v>
      </c>
      <c r="L25" s="11" t="str">
        <f aca="false">IF(Raw_Data!B25&lt;&gt;Thresholds!$E$1,"STALE","CURRENT")</f>
        <v>CURRENT</v>
      </c>
    </row>
    <row r="26" customFormat="false" ht="15" hidden="false" customHeight="false" outlineLevel="0" collapsed="false">
      <c r="A26" s="15" t="str">
        <f aca="false">Raw_Data!A26</f>
        <v>P0024</v>
      </c>
      <c r="B26" s="15" t="str">
        <f aca="false">Raw_Data!C26</f>
        <v>London Rates</v>
      </c>
      <c r="C26" s="11" t="str">
        <f aca="false">IFERROR(INDEX(Thresholds!$A$2:$A$5,MATCH(TRIM(Raw_Data!D26),Thresholds!$A$2:$A$5,0)),"UNMAPPED")</f>
        <v>Government Bond</v>
      </c>
      <c r="D26" s="16" t="n">
        <f aca="false">Raw_Data!G26</f>
        <v>8841</v>
      </c>
      <c r="E26" s="17" t="n">
        <f aca="false">Raw_Data!H26</f>
        <v>96.231</v>
      </c>
      <c r="F26" s="14" t="n">
        <f aca="false">IF(Raw_Data!I26="","",Raw_Data!I26)</f>
        <v>96.276</v>
      </c>
      <c r="G26" s="18" t="n">
        <f aca="false">IF(F26="","",(E26-F26)/F26)</f>
        <v>-0.000467406207154449</v>
      </c>
      <c r="H26" s="19" t="n">
        <f aca="false">IFERROR(INDEX(Thresholds!$B$2:$B$5,MATCH(C26,Thresholds!$A$2:$A$5,0)),"")</f>
        <v>0.0025</v>
      </c>
      <c r="I26" s="20" t="n">
        <f aca="false">IF(F26="","",D26*(E26-F26))</f>
        <v>-397.845000000015</v>
      </c>
      <c r="J26" s="11" t="str">
        <f aca="false">IF(C26="UNMAPPED","UNMAPPED ASSET CLASS",IF(F26="","NO INDEPENDENT PRICE",IF(ABS(G26)&gt;H26,"BREACH","OK")))</f>
        <v>OK</v>
      </c>
      <c r="K26" s="11" t="str">
        <f aca="false">IF(COUNTIF(Raw_Data!$A$2:A26,Raw_Data!A26)&gt;1,"DUP","UNIQUE")</f>
        <v>UNIQUE</v>
      </c>
      <c r="L26" s="11" t="str">
        <f aca="false">IF(Raw_Data!B26&lt;&gt;Thresholds!$E$1,"STALE","CURRENT")</f>
        <v>CURRENT</v>
      </c>
    </row>
    <row r="27" customFormat="false" ht="15" hidden="false" customHeight="false" outlineLevel="0" collapsed="false">
      <c r="A27" s="15" t="str">
        <f aca="false">Raw_Data!A27</f>
        <v>P0025</v>
      </c>
      <c r="B27" s="15" t="str">
        <f aca="false">Raw_Data!C27</f>
        <v>New York Credit</v>
      </c>
      <c r="C27" s="11" t="str">
        <f aca="false">IFERROR(INDEX(Thresholds!$A$2:$A$5,MATCH(TRIM(Raw_Data!D27),Thresholds!$A$2:$A$5,0)),"UNMAPPED")</f>
        <v>Corporate Bond</v>
      </c>
      <c r="D27" s="16" t="n">
        <f aca="false">Raw_Data!G27</f>
        <v>19864</v>
      </c>
      <c r="E27" s="17" t="n">
        <f aca="false">Raw_Data!H27</f>
        <v>106.477</v>
      </c>
      <c r="F27" s="14" t="n">
        <f aca="false">IF(Raw_Data!I27="","",Raw_Data!I27)</f>
        <v>106.833</v>
      </c>
      <c r="G27" s="18" t="n">
        <f aca="false">IF(F27="","",(E27-F27)/F27)</f>
        <v>-0.00333230368893502</v>
      </c>
      <c r="H27" s="19" t="n">
        <f aca="false">IFERROR(INDEX(Thresholds!$B$2:$B$5,MATCH(C27,Thresholds!$A$2:$A$5,0)),"")</f>
        <v>0.005</v>
      </c>
      <c r="I27" s="20" t="n">
        <f aca="false">IF(F27="","",D27*(E27-F27))</f>
        <v>-7071.58399999989</v>
      </c>
      <c r="J27" s="11" t="str">
        <f aca="false">IF(C27="UNMAPPED","UNMAPPED ASSET CLASS",IF(F27="","NO INDEPENDENT PRICE",IF(ABS(G27)&gt;H27,"BREACH","OK")))</f>
        <v>OK</v>
      </c>
      <c r="K27" s="11" t="str">
        <f aca="false">IF(COUNTIF(Raw_Data!$A$2:A27,Raw_Data!A27)&gt;1,"DUP","UNIQUE")</f>
        <v>UNIQUE</v>
      </c>
      <c r="L27" s="11" t="str">
        <f aca="false">IF(Raw_Data!B27&lt;&gt;Thresholds!$E$1,"STALE","CURRENT")</f>
        <v>CURRENT</v>
      </c>
    </row>
    <row r="28" customFormat="false" ht="15" hidden="false" customHeight="false" outlineLevel="0" collapsed="false">
      <c r="A28" s="15" t="str">
        <f aca="false">Raw_Data!A28</f>
        <v>P0026</v>
      </c>
      <c r="B28" s="15" t="str">
        <f aca="false">Raw_Data!C28</f>
        <v>New York Rates</v>
      </c>
      <c r="C28" s="11" t="str">
        <f aca="false">IFERROR(INDEX(Thresholds!$A$2:$A$5,MATCH(TRIM(Raw_Data!D28),Thresholds!$A$2:$A$5,0)),"UNMAPPED")</f>
        <v>Government Bond</v>
      </c>
      <c r="D28" s="16" t="n">
        <f aca="false">Raw_Data!G28</f>
        <v>16976</v>
      </c>
      <c r="E28" s="17" t="n">
        <f aca="false">Raw_Data!H28</f>
        <v>98.691</v>
      </c>
      <c r="F28" s="14" t="n">
        <f aca="false">IF(Raw_Data!I28="","",Raw_Data!I28)</f>
        <v>98.779</v>
      </c>
      <c r="G28" s="18" t="n">
        <f aca="false">IF(F28="","",(E28-F28)/F28)</f>
        <v>-0.000890877615687483</v>
      </c>
      <c r="H28" s="19" t="n">
        <f aca="false">IFERROR(INDEX(Thresholds!$B$2:$B$5,MATCH(C28,Thresholds!$A$2:$A$5,0)),"")</f>
        <v>0.0025</v>
      </c>
      <c r="I28" s="20" t="n">
        <f aca="false">IF(F28="","",D28*(E28-F28))</f>
        <v>-1493.8879999999</v>
      </c>
      <c r="J28" s="11" t="str">
        <f aca="false">IF(C28="UNMAPPED","UNMAPPED ASSET CLASS",IF(F28="","NO INDEPENDENT PRICE",IF(ABS(G28)&gt;H28,"BREACH","OK")))</f>
        <v>OK</v>
      </c>
      <c r="K28" s="11" t="str">
        <f aca="false">IF(COUNTIF(Raw_Data!$A$2:A28,Raw_Data!A28)&gt;1,"DUP","UNIQUE")</f>
        <v>UNIQUE</v>
      </c>
      <c r="L28" s="11" t="str">
        <f aca="false">IF(Raw_Data!B28&lt;&gt;Thresholds!$E$1,"STALE","CURRENT")</f>
        <v>CURRENT</v>
      </c>
    </row>
    <row r="29" customFormat="false" ht="15" hidden="false" customHeight="false" outlineLevel="0" collapsed="false">
      <c r="A29" s="15" t="str">
        <f aca="false">Raw_Data!A29</f>
        <v>P0027</v>
      </c>
      <c r="B29" s="15" t="str">
        <f aca="false">Raw_Data!C29</f>
        <v>London Credit</v>
      </c>
      <c r="C29" s="11" t="str">
        <f aca="false">IFERROR(INDEX(Thresholds!$A$2:$A$5,MATCH(TRIM(Raw_Data!D29),Thresholds!$A$2:$A$5,0)),"UNMAPPED")</f>
        <v>Corporate Bond</v>
      </c>
      <c r="D29" s="16" t="n">
        <f aca="false">Raw_Data!G29</f>
        <v>6007</v>
      </c>
      <c r="E29" s="17" t="n">
        <f aca="false">Raw_Data!H29</f>
        <v>95.7</v>
      </c>
      <c r="F29" s="14" t="str">
        <f aca="false">IF(Raw_Data!I29="","",Raw_Data!I29)</f>
        <v/>
      </c>
      <c r="G29" s="18" t="str">
        <f aca="false">IF(F29="","",(E29-F29)/F29)</f>
        <v/>
      </c>
      <c r="H29" s="19" t="n">
        <f aca="false">IFERROR(INDEX(Thresholds!$B$2:$B$5,MATCH(C29,Thresholds!$A$2:$A$5,0)),"")</f>
        <v>0.005</v>
      </c>
      <c r="I29" s="20" t="str">
        <f aca="false">IF(F29="","",D29*(E29-F29))</f>
        <v/>
      </c>
      <c r="J29" s="11" t="str">
        <f aca="false">IF(C29="UNMAPPED","UNMAPPED ASSET CLASS",IF(F29="","NO INDEPENDENT PRICE",IF(ABS(G29)&gt;H29,"BREACH","OK")))</f>
        <v>NO INDEPENDENT PRICE</v>
      </c>
      <c r="K29" s="11" t="str">
        <f aca="false">IF(COUNTIF(Raw_Data!$A$2:A29,Raw_Data!A29)&gt;1,"DUP","UNIQUE")</f>
        <v>UNIQUE</v>
      </c>
      <c r="L29" s="11" t="str">
        <f aca="false">IF(Raw_Data!B29&lt;&gt;Thresholds!$E$1,"STALE","CURRENT")</f>
        <v>CURRENT</v>
      </c>
    </row>
    <row r="30" customFormat="false" ht="15" hidden="false" customHeight="false" outlineLevel="0" collapsed="false">
      <c r="A30" s="15" t="str">
        <f aca="false">Raw_Data!A30</f>
        <v>P0028</v>
      </c>
      <c r="B30" s="15" t="str">
        <f aca="false">Raw_Data!C30</f>
        <v>New York Rates</v>
      </c>
      <c r="C30" s="11" t="str">
        <f aca="false">IFERROR(INDEX(Thresholds!$A$2:$A$5,MATCH(TRIM(Raw_Data!D30),Thresholds!$A$2:$A$5,0)),"UNMAPPED")</f>
        <v>UNMAPPED</v>
      </c>
      <c r="D30" s="16" t="n">
        <f aca="false">Raw_Data!G30</f>
        <v>15051</v>
      </c>
      <c r="E30" s="17" t="n">
        <f aca="false">Raw_Data!H30</f>
        <v>103.268</v>
      </c>
      <c r="F30" s="14" t="n">
        <f aca="false">IF(Raw_Data!I30="","",Raw_Data!I30)</f>
        <v>103.308</v>
      </c>
      <c r="G30" s="18" t="n">
        <f aca="false">IF(F30="","",(E30-F30)/F30)</f>
        <v>-0.000387191698610042</v>
      </c>
      <c r="H30" s="19" t="str">
        <f aca="false">IFERROR(INDEX(Thresholds!$B$2:$B$5,MATCH(C30,Thresholds!$A$2:$A$5,0)),"")</f>
        <v/>
      </c>
      <c r="I30" s="20" t="n">
        <f aca="false">IF(F30="","",D30*(E30-F30))</f>
        <v>-602.040000000094</v>
      </c>
      <c r="J30" s="11" t="str">
        <f aca="false">IF(C30="UNMAPPED","UNMAPPED ASSET CLASS",IF(F30="","NO INDEPENDENT PRICE",IF(ABS(G30)&gt;H30,"BREACH","OK")))</f>
        <v>UNMAPPED ASSET CLASS</v>
      </c>
      <c r="K30" s="11" t="str">
        <f aca="false">IF(COUNTIF(Raw_Data!$A$2:A30,Raw_Data!A30)&gt;1,"DUP","UNIQUE")</f>
        <v>UNIQUE</v>
      </c>
      <c r="L30" s="11" t="str">
        <f aca="false">IF(Raw_Data!B30&lt;&gt;Thresholds!$E$1,"STALE","CURRENT")</f>
        <v>CURRENT</v>
      </c>
    </row>
    <row r="31" customFormat="false" ht="15" hidden="false" customHeight="false" outlineLevel="0" collapsed="false">
      <c r="A31" s="15" t="str">
        <f aca="false">Raw_Data!A31</f>
        <v>P0029</v>
      </c>
      <c r="B31" s="15" t="str">
        <f aca="false">Raw_Data!C31</f>
        <v>New York Credit</v>
      </c>
      <c r="C31" s="11" t="str">
        <f aca="false">IFERROR(INDEX(Thresholds!$A$2:$A$5,MATCH(TRIM(Raw_Data!D31),Thresholds!$A$2:$A$5,0)),"UNMAPPED")</f>
        <v>Corporate Bond</v>
      </c>
      <c r="D31" s="16" t="n">
        <f aca="false">Raw_Data!G31</f>
        <v>19863</v>
      </c>
      <c r="E31" s="17" t="n">
        <f aca="false">Raw_Data!H31</f>
        <v>106.178</v>
      </c>
      <c r="F31" s="14" t="n">
        <f aca="false">IF(Raw_Data!I31="","",Raw_Data!I31)</f>
        <v>106.471</v>
      </c>
      <c r="G31" s="18" t="n">
        <f aca="false">IF(F31="","",(E31-F31)/F31)</f>
        <v>-0.00275192305886116</v>
      </c>
      <c r="H31" s="19" t="n">
        <f aca="false">IFERROR(INDEX(Thresholds!$B$2:$B$5,MATCH(C31,Thresholds!$A$2:$A$5,0)),"")</f>
        <v>0.005</v>
      </c>
      <c r="I31" s="20" t="n">
        <f aca="false">IF(F31="","",D31*(E31-F31))</f>
        <v>-5819.85900000013</v>
      </c>
      <c r="J31" s="11" t="str">
        <f aca="false">IF(C31="UNMAPPED","UNMAPPED ASSET CLASS",IF(F31="","NO INDEPENDENT PRICE",IF(ABS(G31)&gt;H31,"BREACH","OK")))</f>
        <v>OK</v>
      </c>
      <c r="K31" s="11" t="str">
        <f aca="false">IF(COUNTIF(Raw_Data!$A$2:A31,Raw_Data!A31)&gt;1,"DUP","UNIQUE")</f>
        <v>UNIQUE</v>
      </c>
      <c r="L31" s="11" t="str">
        <f aca="false">IF(Raw_Data!B31&lt;&gt;Thresholds!$E$1,"STALE","CURRENT")</f>
        <v>CURRENT</v>
      </c>
    </row>
    <row r="32" customFormat="false" ht="15" hidden="false" customHeight="false" outlineLevel="0" collapsed="false">
      <c r="A32" s="15" t="str">
        <f aca="false">Raw_Data!A32</f>
        <v>P0030</v>
      </c>
      <c r="B32" s="15" t="str">
        <f aca="false">Raw_Data!C32</f>
        <v>Singapore Equities</v>
      </c>
      <c r="C32" s="11" t="str">
        <f aca="false">IFERROR(INDEX(Thresholds!$A$2:$A$5,MATCH(TRIM(Raw_Data!D32),Thresholds!$A$2:$A$5,0)),"UNMAPPED")</f>
        <v>Equity</v>
      </c>
      <c r="D32" s="16" t="n">
        <f aca="false">Raw_Data!G32</f>
        <v>15035</v>
      </c>
      <c r="E32" s="17" t="n">
        <f aca="false">Raw_Data!H32</f>
        <v>181.66</v>
      </c>
      <c r="F32" s="14" t="n">
        <f aca="false">IF(Raw_Data!I32="","",Raw_Data!I32)</f>
        <v>181.74</v>
      </c>
      <c r="G32" s="18" t="n">
        <f aca="false">IF(F32="","",(E32-F32)/F32)</f>
        <v>-0.000440189281391067</v>
      </c>
      <c r="H32" s="19" t="n">
        <f aca="false">IFERROR(INDEX(Thresholds!$B$2:$B$5,MATCH(C32,Thresholds!$A$2:$A$5,0)),"")</f>
        <v>0.01</v>
      </c>
      <c r="I32" s="20" t="n">
        <f aca="false">IF(F32="","",D32*(E32-F32))</f>
        <v>-1202.80000000019</v>
      </c>
      <c r="J32" s="11" t="str">
        <f aca="false">IF(C32="UNMAPPED","UNMAPPED ASSET CLASS",IF(F32="","NO INDEPENDENT PRICE",IF(ABS(G32)&gt;H32,"BREACH","OK")))</f>
        <v>OK</v>
      </c>
      <c r="K32" s="11" t="str">
        <f aca="false">IF(COUNTIF(Raw_Data!$A$2:A32,Raw_Data!A32)&gt;1,"DUP","UNIQUE")</f>
        <v>UNIQUE</v>
      </c>
      <c r="L32" s="11" t="str">
        <f aca="false">IF(Raw_Data!B32&lt;&gt;Thresholds!$E$1,"STALE","CURRENT")</f>
        <v>CURRENT</v>
      </c>
    </row>
    <row r="33" customFormat="false" ht="15" hidden="false" customHeight="false" outlineLevel="0" collapsed="false">
      <c r="A33" s="15" t="str">
        <f aca="false">Raw_Data!A33</f>
        <v>P0031</v>
      </c>
      <c r="B33" s="15" t="str">
        <f aca="false">Raw_Data!C33</f>
        <v>London Rates</v>
      </c>
      <c r="C33" s="11" t="str">
        <f aca="false">IFERROR(INDEX(Thresholds!$A$2:$A$5,MATCH(TRIM(Raw_Data!D33),Thresholds!$A$2:$A$5,0)),"UNMAPPED")</f>
        <v>Government Bond</v>
      </c>
      <c r="D33" s="16" t="n">
        <f aca="false">Raw_Data!G33</f>
        <v>19672</v>
      </c>
      <c r="E33" s="17" t="n">
        <f aca="false">Raw_Data!H33</f>
        <v>102.004</v>
      </c>
      <c r="F33" s="14" t="n">
        <f aca="false">IF(Raw_Data!I33="","",Raw_Data!I33)</f>
        <v>102.042</v>
      </c>
      <c r="G33" s="18" t="n">
        <f aca="false">IF(F33="","",(E33-F33)/F33)</f>
        <v>-0.000372395680210077</v>
      </c>
      <c r="H33" s="19" t="n">
        <f aca="false">IFERROR(INDEX(Thresholds!$B$2:$B$5,MATCH(C33,Thresholds!$A$2:$A$5,0)),"")</f>
        <v>0.0025</v>
      </c>
      <c r="I33" s="20" t="n">
        <f aca="false">IF(F33="","",D33*(E33-F33))</f>
        <v>-747.535999999935</v>
      </c>
      <c r="J33" s="11" t="str">
        <f aca="false">IF(C33="UNMAPPED","UNMAPPED ASSET CLASS",IF(F33="","NO INDEPENDENT PRICE",IF(ABS(G33)&gt;H33,"BREACH","OK")))</f>
        <v>OK</v>
      </c>
      <c r="K33" s="11" t="str">
        <f aca="false">IF(COUNTIF(Raw_Data!$A$2:A33,Raw_Data!A33)&gt;1,"DUP","UNIQUE")</f>
        <v>UNIQUE</v>
      </c>
      <c r="L33" s="11" t="str">
        <f aca="false">IF(Raw_Data!B33&lt;&gt;Thresholds!$E$1,"STALE","CURRENT")</f>
        <v>CURRENT</v>
      </c>
    </row>
    <row r="34" customFormat="false" ht="15" hidden="false" customHeight="false" outlineLevel="0" collapsed="false">
      <c r="A34" s="15" t="str">
        <f aca="false">Raw_Data!A34</f>
        <v>P0032</v>
      </c>
      <c r="B34" s="15" t="str">
        <f aca="false">Raw_Data!C34</f>
        <v>London Credit</v>
      </c>
      <c r="C34" s="11" t="str">
        <f aca="false">IFERROR(INDEX(Thresholds!$A$2:$A$5,MATCH(TRIM(Raw_Data!D34),Thresholds!$A$2:$A$5,0)),"UNMAPPED")</f>
        <v>Corporate Bond</v>
      </c>
      <c r="D34" s="16" t="n">
        <f aca="false">Raw_Data!G34</f>
        <v>9583</v>
      </c>
      <c r="E34" s="17" t="n">
        <f aca="false">Raw_Data!H34</f>
        <v>102.194</v>
      </c>
      <c r="F34" s="14" t="n">
        <f aca="false">IF(Raw_Data!I34="","",Raw_Data!I34)</f>
        <v>102.261</v>
      </c>
      <c r="G34" s="18" t="n">
        <f aca="false">IF(F34="","",(E34-F34)/F34)</f>
        <v>-0.000655186239133131</v>
      </c>
      <c r="H34" s="19" t="n">
        <f aca="false">IFERROR(INDEX(Thresholds!$B$2:$B$5,MATCH(C34,Thresholds!$A$2:$A$5,0)),"")</f>
        <v>0.005</v>
      </c>
      <c r="I34" s="20" t="n">
        <f aca="false">IF(F34="","",D34*(E34-F34))</f>
        <v>-642.060999999934</v>
      </c>
      <c r="J34" s="11" t="str">
        <f aca="false">IF(C34="UNMAPPED","UNMAPPED ASSET CLASS",IF(F34="","NO INDEPENDENT PRICE",IF(ABS(G34)&gt;H34,"BREACH","OK")))</f>
        <v>OK</v>
      </c>
      <c r="K34" s="11" t="str">
        <f aca="false">IF(COUNTIF(Raw_Data!$A$2:A34,Raw_Data!A34)&gt;1,"DUP","UNIQUE")</f>
        <v>UNIQUE</v>
      </c>
      <c r="L34" s="11" t="str">
        <f aca="false">IF(Raw_Data!B34&lt;&gt;Thresholds!$E$1,"STALE","CURRENT")</f>
        <v>CURRENT</v>
      </c>
    </row>
    <row r="35" customFormat="false" ht="15" hidden="false" customHeight="false" outlineLevel="0" collapsed="false">
      <c r="A35" s="15" t="str">
        <f aca="false">Raw_Data!A35</f>
        <v>P0033</v>
      </c>
      <c r="B35" s="15" t="str">
        <f aca="false">Raw_Data!C35</f>
        <v>Singapore Equities</v>
      </c>
      <c r="C35" s="11" t="str">
        <f aca="false">IFERROR(INDEX(Thresholds!$A$2:$A$5,MATCH(TRIM(Raw_Data!D35),Thresholds!$A$2:$A$5,0)),"UNMAPPED")</f>
        <v>Equity</v>
      </c>
      <c r="D35" s="16" t="n">
        <f aca="false">Raw_Data!G35</f>
        <v>46207</v>
      </c>
      <c r="E35" s="17" t="n">
        <f aca="false">Raw_Data!H35</f>
        <v>253.45</v>
      </c>
      <c r="F35" s="14" t="n">
        <f aca="false">IF(Raw_Data!I35="","",Raw_Data!I35)</f>
        <v>254.29</v>
      </c>
      <c r="G35" s="18" t="n">
        <f aca="false">IF(F35="","",(E35-F35)/F35)</f>
        <v>-0.00330331511266665</v>
      </c>
      <c r="H35" s="19" t="n">
        <f aca="false">IFERROR(INDEX(Thresholds!$B$2:$B$5,MATCH(C35,Thresholds!$A$2:$A$5,0)),"")</f>
        <v>0.01</v>
      </c>
      <c r="I35" s="20" t="n">
        <f aca="false">IF(F35="","",D35*(E35-F35))</f>
        <v>-38813.8800000002</v>
      </c>
      <c r="J35" s="11" t="str">
        <f aca="false">IF(C35="UNMAPPED","UNMAPPED ASSET CLASS",IF(F35="","NO INDEPENDENT PRICE",IF(ABS(G35)&gt;H35,"BREACH","OK")))</f>
        <v>OK</v>
      </c>
      <c r="K35" s="11" t="str">
        <f aca="false">IF(COUNTIF(Raw_Data!$A$2:A35,Raw_Data!A35)&gt;1,"DUP","UNIQUE")</f>
        <v>UNIQUE</v>
      </c>
      <c r="L35" s="11" t="str">
        <f aca="false">IF(Raw_Data!B35&lt;&gt;Thresholds!$E$1,"STALE","CURRENT")</f>
        <v>CURRENT</v>
      </c>
    </row>
    <row r="36" customFormat="false" ht="15" hidden="false" customHeight="false" outlineLevel="0" collapsed="false">
      <c r="A36" s="15" t="str">
        <f aca="false">Raw_Data!A36</f>
        <v>P0034</v>
      </c>
      <c r="B36" s="15" t="str">
        <f aca="false">Raw_Data!C36</f>
        <v>New York Rates</v>
      </c>
      <c r="C36" s="11" t="str">
        <f aca="false">IFERROR(INDEX(Thresholds!$A$2:$A$5,MATCH(TRIM(Raw_Data!D36),Thresholds!$A$2:$A$5,0)),"UNMAPPED")</f>
        <v>Government Bond</v>
      </c>
      <c r="D36" s="16" t="n">
        <f aca="false">Raw_Data!G36</f>
        <v>17085</v>
      </c>
      <c r="E36" s="17" t="n">
        <f aca="false">Raw_Data!H36</f>
        <v>101.579</v>
      </c>
      <c r="F36" s="14" t="n">
        <f aca="false">IF(Raw_Data!I36="","",Raw_Data!I36)</f>
        <v>101.436</v>
      </c>
      <c r="G36" s="18" t="n">
        <f aca="false">IF(F36="","",(E36-F36)/F36)</f>
        <v>0.00140975590520118</v>
      </c>
      <c r="H36" s="19" t="n">
        <f aca="false">IFERROR(INDEX(Thresholds!$B$2:$B$5,MATCH(C36,Thresholds!$A$2:$A$5,0)),"")</f>
        <v>0.0025</v>
      </c>
      <c r="I36" s="20" t="n">
        <f aca="false">IF(F36="","",D36*(E36-F36))</f>
        <v>2443.15499999977</v>
      </c>
      <c r="J36" s="11" t="str">
        <f aca="false">IF(C36="UNMAPPED","UNMAPPED ASSET CLASS",IF(F36="","NO INDEPENDENT PRICE",IF(ABS(G36)&gt;H36,"BREACH","OK")))</f>
        <v>OK</v>
      </c>
      <c r="K36" s="11" t="str">
        <f aca="false">IF(COUNTIF(Raw_Data!$A$2:A36,Raw_Data!A36)&gt;1,"DUP","UNIQUE")</f>
        <v>UNIQUE</v>
      </c>
      <c r="L36" s="11" t="str">
        <f aca="false">IF(Raw_Data!B36&lt;&gt;Thresholds!$E$1,"STALE","CURRENT")</f>
        <v>CURRENT</v>
      </c>
    </row>
    <row r="37" customFormat="false" ht="15" hidden="false" customHeight="false" outlineLevel="0" collapsed="false">
      <c r="A37" s="15" t="str">
        <f aca="false">Raw_Data!A37</f>
        <v>P0035</v>
      </c>
      <c r="B37" s="15" t="str">
        <f aca="false">Raw_Data!C37</f>
        <v>Singapore Equities</v>
      </c>
      <c r="C37" s="11" t="str">
        <f aca="false">IFERROR(INDEX(Thresholds!$A$2:$A$5,MATCH(TRIM(Raw_Data!D37),Thresholds!$A$2:$A$5,0)),"UNMAPPED")</f>
        <v>Equity</v>
      </c>
      <c r="D37" s="16" t="n">
        <f aca="false">Raw_Data!G37</f>
        <v>612</v>
      </c>
      <c r="E37" s="17" t="n">
        <f aca="false">Raw_Data!H37</f>
        <v>191.27</v>
      </c>
      <c r="F37" s="14" t="n">
        <f aca="false">IF(Raw_Data!I37="","",Raw_Data!I37)</f>
        <v>189.89</v>
      </c>
      <c r="G37" s="18" t="n">
        <f aca="false">IF(F37="","",(E37-F37)/F37)</f>
        <v>0.00726736531676246</v>
      </c>
      <c r="H37" s="19" t="n">
        <f aca="false">IFERROR(INDEX(Thresholds!$B$2:$B$5,MATCH(C37,Thresholds!$A$2:$A$5,0)),"")</f>
        <v>0.01</v>
      </c>
      <c r="I37" s="20" t="n">
        <f aca="false">IF(F37="","",D37*(E37-F37))</f>
        <v>844.560000000015</v>
      </c>
      <c r="J37" s="11" t="str">
        <f aca="false">IF(C37="UNMAPPED","UNMAPPED ASSET CLASS",IF(F37="","NO INDEPENDENT PRICE",IF(ABS(G37)&gt;H37,"BREACH","OK")))</f>
        <v>OK</v>
      </c>
      <c r="K37" s="11" t="str">
        <f aca="false">IF(COUNTIF(Raw_Data!$A$2:A37,Raw_Data!A37)&gt;1,"DUP","UNIQUE")</f>
        <v>UNIQUE</v>
      </c>
      <c r="L37" s="11" t="str">
        <f aca="false">IF(Raw_Data!B37&lt;&gt;Thresholds!$E$1,"STALE","CURRENT")</f>
        <v>CURRENT</v>
      </c>
    </row>
    <row r="38" customFormat="false" ht="15" hidden="false" customHeight="false" outlineLevel="0" collapsed="false">
      <c r="A38" s="15" t="str">
        <f aca="false">Raw_Data!A38</f>
        <v>P0036</v>
      </c>
      <c r="B38" s="15" t="str">
        <f aca="false">Raw_Data!C38</f>
        <v>New York Credit</v>
      </c>
      <c r="C38" s="11" t="str">
        <f aca="false">IFERROR(INDEX(Thresholds!$A$2:$A$5,MATCH(TRIM(Raw_Data!D38),Thresholds!$A$2:$A$5,0)),"UNMAPPED")</f>
        <v>Corporate Bond</v>
      </c>
      <c r="D38" s="16" t="n">
        <f aca="false">Raw_Data!G38</f>
        <v>11688</v>
      </c>
      <c r="E38" s="17" t="n">
        <f aca="false">Raw_Data!H38</f>
        <v>102.67</v>
      </c>
      <c r="F38" s="14" t="n">
        <f aca="false">IF(Raw_Data!I38="","",Raw_Data!I38)</f>
        <v>102.283</v>
      </c>
      <c r="G38" s="18" t="n">
        <f aca="false">IF(F38="","",(E38-F38)/F38)</f>
        <v>0.0037836199563955</v>
      </c>
      <c r="H38" s="19" t="n">
        <f aca="false">IFERROR(INDEX(Thresholds!$B$2:$B$5,MATCH(C38,Thresholds!$A$2:$A$5,0)),"")</f>
        <v>0.005</v>
      </c>
      <c r="I38" s="20" t="n">
        <f aca="false">IF(F38="","",D38*(E38-F38))</f>
        <v>4523.25600000001</v>
      </c>
      <c r="J38" s="11" t="str">
        <f aca="false">IF(C38="UNMAPPED","UNMAPPED ASSET CLASS",IF(F38="","NO INDEPENDENT PRICE",IF(ABS(G38)&gt;H38,"BREACH","OK")))</f>
        <v>OK</v>
      </c>
      <c r="K38" s="11" t="str">
        <f aca="false">IF(COUNTIF(Raw_Data!$A$2:A38,Raw_Data!A38)&gt;1,"DUP","UNIQUE")</f>
        <v>UNIQUE</v>
      </c>
      <c r="L38" s="11" t="str">
        <f aca="false">IF(Raw_Data!B38&lt;&gt;Thresholds!$E$1,"STALE","CURRENT")</f>
        <v>CURRENT</v>
      </c>
    </row>
    <row r="39" customFormat="false" ht="15" hidden="false" customHeight="false" outlineLevel="0" collapsed="false">
      <c r="A39" s="15" t="str">
        <f aca="false">Raw_Data!A39</f>
        <v>P0037</v>
      </c>
      <c r="B39" s="15" t="str">
        <f aca="false">Raw_Data!C39</f>
        <v>Zurich FX</v>
      </c>
      <c r="C39" s="11" t="str">
        <f aca="false">IFERROR(INDEX(Thresholds!$A$2:$A$5,MATCH(TRIM(Raw_Data!D39),Thresholds!$A$2:$A$5,0)),"UNMAPPED")</f>
        <v>FX Forward</v>
      </c>
      <c r="D39" s="16" t="n">
        <f aca="false">Raw_Data!G39</f>
        <v>430700</v>
      </c>
      <c r="E39" s="17" t="n">
        <f aca="false">Raw_Data!H39</f>
        <v>1.5034</v>
      </c>
      <c r="F39" s="14" t="n">
        <f aca="false">IF(Raw_Data!I39="","",Raw_Data!I39)</f>
        <v>1.50666</v>
      </c>
      <c r="G39" s="18" t="n">
        <f aca="false">IF(F39="","",(E39-F39)/F39)</f>
        <v>-0.00216372638816989</v>
      </c>
      <c r="H39" s="19" t="n">
        <f aca="false">IFERROR(INDEX(Thresholds!$B$2:$B$5,MATCH(C39,Thresholds!$A$2:$A$5,0)),"")</f>
        <v>0.003</v>
      </c>
      <c r="I39" s="20" t="n">
        <f aca="false">IF(F39="","",D39*(E39-F39))</f>
        <v>-1404.08200000002</v>
      </c>
      <c r="J39" s="11" t="str">
        <f aca="false">IF(C39="UNMAPPED","UNMAPPED ASSET CLASS",IF(F39="","NO INDEPENDENT PRICE",IF(ABS(G39)&gt;H39,"BREACH","OK")))</f>
        <v>OK</v>
      </c>
      <c r="K39" s="11" t="str">
        <f aca="false">IF(COUNTIF(Raw_Data!$A$2:A39,Raw_Data!A39)&gt;1,"DUP","UNIQUE")</f>
        <v>UNIQUE</v>
      </c>
      <c r="L39" s="11" t="str">
        <f aca="false">IF(Raw_Data!B39&lt;&gt;Thresholds!$E$1,"STALE","CURRENT")</f>
        <v>CURRENT</v>
      </c>
    </row>
    <row r="40" customFormat="false" ht="15" hidden="false" customHeight="false" outlineLevel="0" collapsed="false">
      <c r="A40" s="15" t="str">
        <f aca="false">Raw_Data!A40</f>
        <v>P0038</v>
      </c>
      <c r="B40" s="15" t="str">
        <f aca="false">Raw_Data!C40</f>
        <v>Singapore Equities</v>
      </c>
      <c r="C40" s="11" t="str">
        <f aca="false">IFERROR(INDEX(Thresholds!$A$2:$A$5,MATCH(TRIM(Raw_Data!D40),Thresholds!$A$2:$A$5,0)),"UNMAPPED")</f>
        <v>Equity</v>
      </c>
      <c r="D40" s="16" t="n">
        <f aca="false">Raw_Data!G40</f>
        <v>33381</v>
      </c>
      <c r="E40" s="17" t="n">
        <f aca="false">Raw_Data!H40</f>
        <v>160.8</v>
      </c>
      <c r="F40" s="14" t="n">
        <f aca="false">IF(Raw_Data!I40="","",Raw_Data!I40)</f>
        <v>160.52</v>
      </c>
      <c r="G40" s="18" t="n">
        <f aca="false">IF(F40="","",(E40-F40)/F40)</f>
        <v>0.0017443309244954</v>
      </c>
      <c r="H40" s="19" t="n">
        <f aca="false">IFERROR(INDEX(Thresholds!$B$2:$B$5,MATCH(C40,Thresholds!$A$2:$A$5,0)),"")</f>
        <v>0.01</v>
      </c>
      <c r="I40" s="20" t="n">
        <f aca="false">IF(F40="","",D40*(E40-F40))</f>
        <v>9346.68000000004</v>
      </c>
      <c r="J40" s="11" t="str">
        <f aca="false">IF(C40="UNMAPPED","UNMAPPED ASSET CLASS",IF(F40="","NO INDEPENDENT PRICE",IF(ABS(G40)&gt;H40,"BREACH","OK")))</f>
        <v>OK</v>
      </c>
      <c r="K40" s="11" t="str">
        <f aca="false">IF(COUNTIF(Raw_Data!$A$2:A40,Raw_Data!A40)&gt;1,"DUP","UNIQUE")</f>
        <v>UNIQUE</v>
      </c>
      <c r="L40" s="11" t="str">
        <f aca="false">IF(Raw_Data!B40&lt;&gt;Thresholds!$E$1,"STALE","CURRENT")</f>
        <v>CURRENT</v>
      </c>
    </row>
    <row r="41" customFormat="false" ht="15" hidden="false" customHeight="false" outlineLevel="0" collapsed="false">
      <c r="A41" s="15" t="str">
        <f aca="false">Raw_Data!A41</f>
        <v>P0039</v>
      </c>
      <c r="B41" s="15" t="str">
        <f aca="false">Raw_Data!C41</f>
        <v>New York Credit</v>
      </c>
      <c r="C41" s="11" t="str">
        <f aca="false">IFERROR(INDEX(Thresholds!$A$2:$A$5,MATCH(TRIM(Raw_Data!D41),Thresholds!$A$2:$A$5,0)),"UNMAPPED")</f>
        <v>Corporate Bond</v>
      </c>
      <c r="D41" s="16" t="n">
        <f aca="false">Raw_Data!G41</f>
        <v>15086</v>
      </c>
      <c r="E41" s="17" t="n">
        <f aca="false">Raw_Data!H41</f>
        <v>100.767</v>
      </c>
      <c r="F41" s="14" t="n">
        <f aca="false">IF(Raw_Data!I41="","",Raw_Data!I41)</f>
        <v>100.56</v>
      </c>
      <c r="G41" s="18" t="n">
        <f aca="false">IF(F41="","",(E41-F41)/F41)</f>
        <v>0.00205847255369922</v>
      </c>
      <c r="H41" s="19" t="n">
        <f aca="false">IFERROR(INDEX(Thresholds!$B$2:$B$5,MATCH(C41,Thresholds!$A$2:$A$5,0)),"")</f>
        <v>0.005</v>
      </c>
      <c r="I41" s="20" t="n">
        <f aca="false">IF(F41="","",D41*(E41-F41))</f>
        <v>3122.8019999999</v>
      </c>
      <c r="J41" s="11" t="str">
        <f aca="false">IF(C41="UNMAPPED","UNMAPPED ASSET CLASS",IF(F41="","NO INDEPENDENT PRICE",IF(ABS(G41)&gt;H41,"BREACH","OK")))</f>
        <v>OK</v>
      </c>
      <c r="K41" s="11" t="str">
        <f aca="false">IF(COUNTIF(Raw_Data!$A$2:A41,Raw_Data!A41)&gt;1,"DUP","UNIQUE")</f>
        <v>UNIQUE</v>
      </c>
      <c r="L41" s="11" t="str">
        <f aca="false">IF(Raw_Data!B41&lt;&gt;Thresholds!$E$1,"STALE","CURRENT")</f>
        <v>CURRENT</v>
      </c>
    </row>
    <row r="42" customFormat="false" ht="15" hidden="false" customHeight="false" outlineLevel="0" collapsed="false">
      <c r="A42" s="15" t="str">
        <f aca="false">Raw_Data!A42</f>
        <v>P0040</v>
      </c>
      <c r="B42" s="15" t="str">
        <f aca="false">Raw_Data!C42</f>
        <v>London Credit</v>
      </c>
      <c r="C42" s="11" t="str">
        <f aca="false">IFERROR(INDEX(Thresholds!$A$2:$A$5,MATCH(TRIM(Raw_Data!D42),Thresholds!$A$2:$A$5,0)),"UNMAPPED")</f>
        <v>Corporate Bond</v>
      </c>
      <c r="D42" s="16" t="n">
        <f aca="false">Raw_Data!G42</f>
        <v>6560</v>
      </c>
      <c r="E42" s="17" t="n">
        <f aca="false">Raw_Data!H42</f>
        <v>100.179</v>
      </c>
      <c r="F42" s="14" t="n">
        <f aca="false">IF(Raw_Data!I42="","",Raw_Data!I42)</f>
        <v>100.007</v>
      </c>
      <c r="G42" s="18" t="n">
        <f aca="false">IF(F42="","",(E42-F42)/F42)</f>
        <v>0.00171987960842738</v>
      </c>
      <c r="H42" s="19" t="n">
        <f aca="false">IFERROR(INDEX(Thresholds!$B$2:$B$5,MATCH(C42,Thresholds!$A$2:$A$5,0)),"")</f>
        <v>0.005</v>
      </c>
      <c r="I42" s="20" t="n">
        <f aca="false">IF(F42="","",D42*(E42-F42))</f>
        <v>1128.31999999998</v>
      </c>
      <c r="J42" s="11" t="str">
        <f aca="false">IF(C42="UNMAPPED","UNMAPPED ASSET CLASS",IF(F42="","NO INDEPENDENT PRICE",IF(ABS(G42)&gt;H42,"BREACH","OK")))</f>
        <v>OK</v>
      </c>
      <c r="K42" s="11" t="str">
        <f aca="false">IF(COUNTIF(Raw_Data!$A$2:A42,Raw_Data!A42)&gt;1,"DUP","UNIQUE")</f>
        <v>UNIQUE</v>
      </c>
      <c r="L42" s="11" t="str">
        <f aca="false">IF(Raw_Data!B42&lt;&gt;Thresholds!$E$1,"STALE","CURRENT")</f>
        <v>STALE</v>
      </c>
    </row>
    <row r="43" customFormat="false" ht="15" hidden="false" customHeight="false" outlineLevel="0" collapsed="false">
      <c r="A43" s="15" t="str">
        <f aca="false">Raw_Data!A43</f>
        <v>P0041</v>
      </c>
      <c r="B43" s="15" t="str">
        <f aca="false">Raw_Data!C43</f>
        <v>London Credit</v>
      </c>
      <c r="C43" s="11" t="str">
        <f aca="false">IFERROR(INDEX(Thresholds!$A$2:$A$5,MATCH(TRIM(Raw_Data!D43),Thresholds!$A$2:$A$5,0)),"UNMAPPED")</f>
        <v>Corporate Bond</v>
      </c>
      <c r="D43" s="16" t="n">
        <f aca="false">Raw_Data!G43</f>
        <v>7456</v>
      </c>
      <c r="E43" s="17" t="n">
        <f aca="false">Raw_Data!H43</f>
        <v>100.319</v>
      </c>
      <c r="F43" s="14" t="n">
        <f aca="false">IF(Raw_Data!I43="","",Raw_Data!I43)</f>
        <v>100.186</v>
      </c>
      <c r="G43" s="18" t="n">
        <f aca="false">IF(F43="","",(E43-F43)/F43)</f>
        <v>0.00132753079272549</v>
      </c>
      <c r="H43" s="19" t="n">
        <f aca="false">IFERROR(INDEX(Thresholds!$B$2:$B$5,MATCH(C43,Thresholds!$A$2:$A$5,0)),"")</f>
        <v>0.005</v>
      </c>
      <c r="I43" s="20" t="n">
        <f aca="false">IF(F43="","",D43*(E43-F43))</f>
        <v>991.647999999967</v>
      </c>
      <c r="J43" s="11" t="str">
        <f aca="false">IF(C43="UNMAPPED","UNMAPPED ASSET CLASS",IF(F43="","NO INDEPENDENT PRICE",IF(ABS(G43)&gt;H43,"BREACH","OK")))</f>
        <v>OK</v>
      </c>
      <c r="K43" s="11" t="str">
        <f aca="false">IF(COUNTIF(Raw_Data!$A$2:A43,Raw_Data!A43)&gt;1,"DUP","UNIQUE")</f>
        <v>UNIQUE</v>
      </c>
      <c r="L43" s="11" t="str">
        <f aca="false">IF(Raw_Data!B43&lt;&gt;Thresholds!$E$1,"STALE","CURRENT")</f>
        <v>CURRENT</v>
      </c>
    </row>
    <row r="44" customFormat="false" ht="15" hidden="false" customHeight="false" outlineLevel="0" collapsed="false">
      <c r="A44" s="15" t="str">
        <f aca="false">Raw_Data!A44</f>
        <v>P0042</v>
      </c>
      <c r="B44" s="15" t="str">
        <f aca="false">Raw_Data!C44</f>
        <v>Singapore FX</v>
      </c>
      <c r="C44" s="11" t="str">
        <f aca="false">IFERROR(INDEX(Thresholds!$A$2:$A$5,MATCH(TRIM(Raw_Data!D44),Thresholds!$A$2:$A$5,0)),"UNMAPPED")</f>
        <v>FX Forward</v>
      </c>
      <c r="D44" s="16" t="n">
        <f aca="false">Raw_Data!G44</f>
        <v>4964749</v>
      </c>
      <c r="E44" s="17" t="n">
        <f aca="false">Raw_Data!H44</f>
        <v>1.32605</v>
      </c>
      <c r="F44" s="14" t="n">
        <f aca="false">IF(Raw_Data!I44="","",Raw_Data!I44)</f>
        <v>1.32758</v>
      </c>
      <c r="G44" s="18" t="n">
        <f aca="false">IF(F44="","",(E44-F44)/F44)</f>
        <v>-0.00115247292065264</v>
      </c>
      <c r="H44" s="19" t="n">
        <f aca="false">IFERROR(INDEX(Thresholds!$B$2:$B$5,MATCH(C44,Thresholds!$A$2:$A$5,0)),"")</f>
        <v>0.003</v>
      </c>
      <c r="I44" s="20" t="n">
        <f aca="false">IF(F44="","",D44*(E44-F44))</f>
        <v>-7596.06597000016</v>
      </c>
      <c r="J44" s="11" t="str">
        <f aca="false">IF(C44="UNMAPPED","UNMAPPED ASSET CLASS",IF(F44="","NO INDEPENDENT PRICE",IF(ABS(G44)&gt;H44,"BREACH","OK")))</f>
        <v>OK</v>
      </c>
      <c r="K44" s="11" t="str">
        <f aca="false">IF(COUNTIF(Raw_Data!$A$2:A44,Raw_Data!A44)&gt;1,"DUP","UNIQUE")</f>
        <v>UNIQUE</v>
      </c>
      <c r="L44" s="11" t="str">
        <f aca="false">IF(Raw_Data!B44&lt;&gt;Thresholds!$E$1,"STALE","CURRENT")</f>
        <v>CURRENT</v>
      </c>
    </row>
    <row r="45" customFormat="false" ht="15" hidden="false" customHeight="false" outlineLevel="0" collapsed="false">
      <c r="A45" s="15" t="str">
        <f aca="false">Raw_Data!A45</f>
        <v>P0043</v>
      </c>
      <c r="B45" s="15" t="str">
        <f aca="false">Raw_Data!C45</f>
        <v>New York Rates</v>
      </c>
      <c r="C45" s="11" t="str">
        <f aca="false">IFERROR(INDEX(Thresholds!$A$2:$A$5,MATCH(TRIM(Raw_Data!D45),Thresholds!$A$2:$A$5,0)),"UNMAPPED")</f>
        <v>Government Bond</v>
      </c>
      <c r="D45" s="16" t="n">
        <f aca="false">Raw_Data!G45</f>
        <v>16654</v>
      </c>
      <c r="E45" s="17" t="n">
        <f aca="false">Raw_Data!H45</f>
        <v>103.529</v>
      </c>
      <c r="F45" s="14" t="n">
        <f aca="false">IF(Raw_Data!I45="","",Raw_Data!I45)</f>
        <v>103.505</v>
      </c>
      <c r="G45" s="18" t="n">
        <f aca="false">IF(F45="","",(E45-F45)/F45)</f>
        <v>0.000231872856383758</v>
      </c>
      <c r="H45" s="19" t="n">
        <f aca="false">IFERROR(INDEX(Thresholds!$B$2:$B$5,MATCH(C45,Thresholds!$A$2:$A$5,0)),"")</f>
        <v>0.0025</v>
      </c>
      <c r="I45" s="20" t="n">
        <f aca="false">IF(F45="","",D45*(E45-F45))</f>
        <v>399.696000000015</v>
      </c>
      <c r="J45" s="11" t="str">
        <f aca="false">IF(C45="UNMAPPED","UNMAPPED ASSET CLASS",IF(F45="","NO INDEPENDENT PRICE",IF(ABS(G45)&gt;H45,"BREACH","OK")))</f>
        <v>OK</v>
      </c>
      <c r="K45" s="11" t="str">
        <f aca="false">IF(COUNTIF(Raw_Data!$A$2:A45,Raw_Data!A45)&gt;1,"DUP","UNIQUE")</f>
        <v>UNIQUE</v>
      </c>
      <c r="L45" s="11" t="str">
        <f aca="false">IF(Raw_Data!B45&lt;&gt;Thresholds!$E$1,"STALE","CURRENT")</f>
        <v>CURRENT</v>
      </c>
    </row>
    <row r="46" customFormat="false" ht="15" hidden="false" customHeight="false" outlineLevel="0" collapsed="false">
      <c r="A46" s="15" t="str">
        <f aca="false">Raw_Data!A46</f>
        <v>P0044</v>
      </c>
      <c r="B46" s="15" t="str">
        <f aca="false">Raw_Data!C46</f>
        <v>New York Rates</v>
      </c>
      <c r="C46" s="11" t="str">
        <f aca="false">IFERROR(INDEX(Thresholds!$A$2:$A$5,MATCH(TRIM(Raw_Data!D46),Thresholds!$A$2:$A$5,0)),"UNMAPPED")</f>
        <v>Government Bond</v>
      </c>
      <c r="D46" s="16" t="n">
        <f aca="false">Raw_Data!G46</f>
        <v>18502</v>
      </c>
      <c r="E46" s="17" t="n">
        <f aca="false">Raw_Data!H46</f>
        <v>97.82</v>
      </c>
      <c r="F46" s="14" t="n">
        <f aca="false">IF(Raw_Data!I46="","",Raw_Data!I46)</f>
        <v>97.813</v>
      </c>
      <c r="G46" s="18" t="n">
        <f aca="false">IF(F46="","",(E46-F46)/F46)</f>
        <v>7.15651293794362E-005</v>
      </c>
      <c r="H46" s="19" t="n">
        <f aca="false">IFERROR(INDEX(Thresholds!$B$2:$B$5,MATCH(C46,Thresholds!$A$2:$A$5,0)),"")</f>
        <v>0.0025</v>
      </c>
      <c r="I46" s="20" t="n">
        <f aca="false">IF(F46="","",D46*(E46-F46))</f>
        <v>129.51399999983</v>
      </c>
      <c r="J46" s="11" t="str">
        <f aca="false">IF(C46="UNMAPPED","UNMAPPED ASSET CLASS",IF(F46="","NO INDEPENDENT PRICE",IF(ABS(G46)&gt;H46,"BREACH","OK")))</f>
        <v>OK</v>
      </c>
      <c r="K46" s="11" t="str">
        <f aca="false">IF(COUNTIF(Raw_Data!$A$2:A46,Raw_Data!A46)&gt;1,"DUP","UNIQUE")</f>
        <v>UNIQUE</v>
      </c>
      <c r="L46" s="11" t="str">
        <f aca="false">IF(Raw_Data!B46&lt;&gt;Thresholds!$E$1,"STALE","CURRENT")</f>
        <v>CURRENT</v>
      </c>
    </row>
    <row r="47" customFormat="false" ht="15" hidden="false" customHeight="false" outlineLevel="0" collapsed="false">
      <c r="A47" s="15" t="str">
        <f aca="false">Raw_Data!A47</f>
        <v>P0045</v>
      </c>
      <c r="B47" s="15" t="str">
        <f aca="false">Raw_Data!C47</f>
        <v>London Credit</v>
      </c>
      <c r="C47" s="11" t="str">
        <f aca="false">IFERROR(INDEX(Thresholds!$A$2:$A$5,MATCH(TRIM(Raw_Data!D47),Thresholds!$A$2:$A$5,0)),"UNMAPPED")</f>
        <v>Corporate Bond</v>
      </c>
      <c r="D47" s="16" t="n">
        <f aca="false">Raw_Data!G47</f>
        <v>14767</v>
      </c>
      <c r="E47" s="17" t="n">
        <f aca="false">Raw_Data!H47</f>
        <v>95.309</v>
      </c>
      <c r="F47" s="14" t="n">
        <f aca="false">IF(Raw_Data!I47="","",Raw_Data!I47)</f>
        <v>95.146</v>
      </c>
      <c r="G47" s="18" t="n">
        <f aca="false">IF(F47="","",(E47-F47)/F47)</f>
        <v>0.00171315662245388</v>
      </c>
      <c r="H47" s="19" t="n">
        <f aca="false">IFERROR(INDEX(Thresholds!$B$2:$B$5,MATCH(C47,Thresholds!$A$2:$A$5,0)),"")</f>
        <v>0.005</v>
      </c>
      <c r="I47" s="20" t="n">
        <f aca="false">IF(F47="","",D47*(E47-F47))</f>
        <v>2407.02099999995</v>
      </c>
      <c r="J47" s="11" t="str">
        <f aca="false">IF(C47="UNMAPPED","UNMAPPED ASSET CLASS",IF(F47="","NO INDEPENDENT PRICE",IF(ABS(G47)&gt;H47,"BREACH","OK")))</f>
        <v>OK</v>
      </c>
      <c r="K47" s="11" t="str">
        <f aca="false">IF(COUNTIF(Raw_Data!$A$2:A47,Raw_Data!A47)&gt;1,"DUP","UNIQUE")</f>
        <v>UNIQUE</v>
      </c>
      <c r="L47" s="11" t="str">
        <f aca="false">IF(Raw_Data!B47&lt;&gt;Thresholds!$E$1,"STALE","CURRENT")</f>
        <v>CURRENT</v>
      </c>
    </row>
    <row r="48" customFormat="false" ht="15" hidden="false" customHeight="false" outlineLevel="0" collapsed="false">
      <c r="A48" s="15" t="str">
        <f aca="false">Raw_Data!A48</f>
        <v>P0046</v>
      </c>
      <c r="B48" s="15" t="str">
        <f aca="false">Raw_Data!C48</f>
        <v>New York Credit</v>
      </c>
      <c r="C48" s="11" t="str">
        <f aca="false">IFERROR(INDEX(Thresholds!$A$2:$A$5,MATCH(TRIM(Raw_Data!D48),Thresholds!$A$2:$A$5,0)),"UNMAPPED")</f>
        <v>Corporate Bond</v>
      </c>
      <c r="D48" s="16" t="n">
        <f aca="false">Raw_Data!G48</f>
        <v>11819</v>
      </c>
      <c r="E48" s="17" t="n">
        <f aca="false">Raw_Data!H48</f>
        <v>98.901</v>
      </c>
      <c r="F48" s="14" t="n">
        <f aca="false">IF(Raw_Data!I48="","",Raw_Data!I48)</f>
        <v>99.256</v>
      </c>
      <c r="G48" s="18" t="n">
        <f aca="false">IF(F48="","",(E48-F48)/F48)</f>
        <v>-0.00357660997823813</v>
      </c>
      <c r="H48" s="19" t="n">
        <f aca="false">IFERROR(INDEX(Thresholds!$B$2:$B$5,MATCH(C48,Thresholds!$A$2:$A$5,0)),"")</f>
        <v>0.005</v>
      </c>
      <c r="I48" s="20" t="n">
        <f aca="false">IF(F48="","",D48*(E48-F48))</f>
        <v>-4195.74500000005</v>
      </c>
      <c r="J48" s="11" t="str">
        <f aca="false">IF(C48="UNMAPPED","UNMAPPED ASSET CLASS",IF(F48="","NO INDEPENDENT PRICE",IF(ABS(G48)&gt;H48,"BREACH","OK")))</f>
        <v>OK</v>
      </c>
      <c r="K48" s="11" t="str">
        <f aca="false">IF(COUNTIF(Raw_Data!$A$2:A48,Raw_Data!A48)&gt;1,"DUP","UNIQUE")</f>
        <v>UNIQUE</v>
      </c>
      <c r="L48" s="11" t="str">
        <f aca="false">IF(Raw_Data!B48&lt;&gt;Thresholds!$E$1,"STALE","CURRENT")</f>
        <v>CURRENT</v>
      </c>
    </row>
    <row r="49" customFormat="false" ht="15" hidden="false" customHeight="false" outlineLevel="0" collapsed="false">
      <c r="A49" s="15" t="str">
        <f aca="false">Raw_Data!A49</f>
        <v>P0047</v>
      </c>
      <c r="B49" s="15" t="str">
        <f aca="false">Raw_Data!C49</f>
        <v>Zurich Equities</v>
      </c>
      <c r="C49" s="11" t="str">
        <f aca="false">IFERROR(INDEX(Thresholds!$A$2:$A$5,MATCH(TRIM(Raw_Data!D49),Thresholds!$A$2:$A$5,0)),"UNMAPPED")</f>
        <v>Equity</v>
      </c>
      <c r="D49" s="16" t="n">
        <f aca="false">Raw_Data!G49</f>
        <v>31248</v>
      </c>
      <c r="E49" s="17" t="n">
        <f aca="false">Raw_Data!H49</f>
        <v>55.95</v>
      </c>
      <c r="F49" s="14" t="n">
        <f aca="false">IF(Raw_Data!I49="","",Raw_Data!I49)</f>
        <v>55.94</v>
      </c>
      <c r="G49" s="18" t="n">
        <f aca="false">IF(F49="","",(E49-F49)/F49)</f>
        <v>0.000178762960314714</v>
      </c>
      <c r="H49" s="19" t="n">
        <f aca="false">IFERROR(INDEX(Thresholds!$B$2:$B$5,MATCH(C49,Thresholds!$A$2:$A$5,0)),"")</f>
        <v>0.01</v>
      </c>
      <c r="I49" s="20" t="n">
        <f aca="false">IF(F49="","",D49*(E49-F49))</f>
        <v>312.48000000016</v>
      </c>
      <c r="J49" s="11" t="str">
        <f aca="false">IF(C49="UNMAPPED","UNMAPPED ASSET CLASS",IF(F49="","NO INDEPENDENT PRICE",IF(ABS(G49)&gt;H49,"BREACH","OK")))</f>
        <v>OK</v>
      </c>
      <c r="K49" s="11" t="str">
        <f aca="false">IF(COUNTIF(Raw_Data!$A$2:A49,Raw_Data!A49)&gt;1,"DUP","UNIQUE")</f>
        <v>UNIQUE</v>
      </c>
      <c r="L49" s="11" t="str">
        <f aca="false">IF(Raw_Data!B49&lt;&gt;Thresholds!$E$1,"STALE","CURRENT")</f>
        <v>CURRENT</v>
      </c>
    </row>
    <row r="50" customFormat="false" ht="15" hidden="false" customHeight="false" outlineLevel="0" collapsed="false">
      <c r="A50" s="15" t="str">
        <f aca="false">Raw_Data!A50</f>
        <v>P0048</v>
      </c>
      <c r="B50" s="15" t="str">
        <f aca="false">Raw_Data!C50</f>
        <v>Singapore Equities</v>
      </c>
      <c r="C50" s="11" t="str">
        <f aca="false">IFERROR(INDEX(Thresholds!$A$2:$A$5,MATCH(TRIM(Raw_Data!D50),Thresholds!$A$2:$A$5,0)),"UNMAPPED")</f>
        <v>Equity</v>
      </c>
      <c r="D50" s="16" t="n">
        <f aca="false">Raw_Data!G50</f>
        <v>14825</v>
      </c>
      <c r="E50" s="17" t="n">
        <f aca="false">Raw_Data!H50</f>
        <v>142.67</v>
      </c>
      <c r="F50" s="14" t="n">
        <f aca="false">IF(Raw_Data!I50="","",Raw_Data!I50)</f>
        <v>143.03</v>
      </c>
      <c r="G50" s="18" t="n">
        <f aca="false">IF(F50="","",(E50-F50)/F50)</f>
        <v>-0.00251695448507316</v>
      </c>
      <c r="H50" s="19" t="n">
        <f aca="false">IFERROR(INDEX(Thresholds!$B$2:$B$5,MATCH(C50,Thresholds!$A$2:$A$5,0)),"")</f>
        <v>0.01</v>
      </c>
      <c r="I50" s="20" t="n">
        <f aca="false">IF(F50="","",D50*(E50-F50))</f>
        <v>-5337.0000000002</v>
      </c>
      <c r="J50" s="11" t="str">
        <f aca="false">IF(C50="UNMAPPED","UNMAPPED ASSET CLASS",IF(F50="","NO INDEPENDENT PRICE",IF(ABS(G50)&gt;H50,"BREACH","OK")))</f>
        <v>OK</v>
      </c>
      <c r="K50" s="11" t="str">
        <f aca="false">IF(COUNTIF(Raw_Data!$A$2:A50,Raw_Data!A50)&gt;1,"DUP","UNIQUE")</f>
        <v>UNIQUE</v>
      </c>
      <c r="L50" s="11" t="str">
        <f aca="false">IF(Raw_Data!B50&lt;&gt;Thresholds!$E$1,"STALE","CURRENT")</f>
        <v>CURRENT</v>
      </c>
    </row>
    <row r="51" customFormat="false" ht="15" hidden="false" customHeight="false" outlineLevel="0" collapsed="false">
      <c r="A51" s="15" t="str">
        <f aca="false">Raw_Data!A51</f>
        <v>P0049</v>
      </c>
      <c r="B51" s="15" t="str">
        <f aca="false">Raw_Data!C51</f>
        <v>London Rates</v>
      </c>
      <c r="C51" s="11" t="str">
        <f aca="false">IFERROR(INDEX(Thresholds!$A$2:$A$5,MATCH(TRIM(Raw_Data!D51),Thresholds!$A$2:$A$5,0)),"UNMAPPED")</f>
        <v>Government Bond</v>
      </c>
      <c r="D51" s="16" t="n">
        <f aca="false">Raw_Data!G51</f>
        <v>17579</v>
      </c>
      <c r="E51" s="17" t="n">
        <f aca="false">Raw_Data!H51</f>
        <v>98.778</v>
      </c>
      <c r="F51" s="14" t="n">
        <f aca="false">IF(Raw_Data!I51="","",Raw_Data!I51)</f>
        <v>98.864</v>
      </c>
      <c r="G51" s="18" t="n">
        <f aca="false">IF(F51="","",(E51-F51)/F51)</f>
        <v>-0.000869881857905795</v>
      </c>
      <c r="H51" s="19" t="n">
        <f aca="false">IFERROR(INDEX(Thresholds!$B$2:$B$5,MATCH(C51,Thresholds!$A$2:$A$5,0)),"")</f>
        <v>0.0025</v>
      </c>
      <c r="I51" s="20" t="n">
        <f aca="false">IF(F51="","",D51*(E51-F51))</f>
        <v>-1511.79399999997</v>
      </c>
      <c r="J51" s="11" t="str">
        <f aca="false">IF(C51="UNMAPPED","UNMAPPED ASSET CLASS",IF(F51="","NO INDEPENDENT PRICE",IF(ABS(G51)&gt;H51,"BREACH","OK")))</f>
        <v>OK</v>
      </c>
      <c r="K51" s="11" t="str">
        <f aca="false">IF(COUNTIF(Raw_Data!$A$2:A51,Raw_Data!A51)&gt;1,"DUP","UNIQUE")</f>
        <v>UNIQUE</v>
      </c>
      <c r="L51" s="11" t="str">
        <f aca="false">IF(Raw_Data!B51&lt;&gt;Thresholds!$E$1,"STALE","CURRENT")</f>
        <v>CURRENT</v>
      </c>
    </row>
    <row r="52" customFormat="false" ht="15" hidden="false" customHeight="false" outlineLevel="0" collapsed="false">
      <c r="A52" s="15" t="str">
        <f aca="false">Raw_Data!A52</f>
        <v>P0050</v>
      </c>
      <c r="B52" s="15" t="str">
        <f aca="false">Raw_Data!C52</f>
        <v>Zurich Equities</v>
      </c>
      <c r="C52" s="11" t="str">
        <f aca="false">IFERROR(INDEX(Thresholds!$A$2:$A$5,MATCH(TRIM(Raw_Data!D52),Thresholds!$A$2:$A$5,0)),"UNMAPPED")</f>
        <v>Equity</v>
      </c>
      <c r="D52" s="16" t="n">
        <f aca="false">Raw_Data!G52</f>
        <v>3765</v>
      </c>
      <c r="E52" s="17" t="n">
        <f aca="false">Raw_Data!H52</f>
        <v>211.69</v>
      </c>
      <c r="F52" s="14" t="n">
        <f aca="false">IF(Raw_Data!I52="","",Raw_Data!I52)</f>
        <v>209.32</v>
      </c>
      <c r="G52" s="18" t="n">
        <f aca="false">IF(F52="","",(E52-F52)/F52)</f>
        <v>0.0113223772214791</v>
      </c>
      <c r="H52" s="19" t="n">
        <f aca="false">IFERROR(INDEX(Thresholds!$B$2:$B$5,MATCH(C52,Thresholds!$A$2:$A$5,0)),"")</f>
        <v>0.01</v>
      </c>
      <c r="I52" s="20" t="n">
        <f aca="false">IF(F52="","",D52*(E52-F52))</f>
        <v>8923.05000000002</v>
      </c>
      <c r="J52" s="11" t="str">
        <f aca="false">IF(C52="UNMAPPED","UNMAPPED ASSET CLASS",IF(F52="","NO INDEPENDENT PRICE",IF(ABS(G52)&gt;H52,"BREACH","OK")))</f>
        <v>BREACH</v>
      </c>
      <c r="K52" s="11" t="str">
        <f aca="false">IF(COUNTIF(Raw_Data!$A$2:A52,Raw_Data!A52)&gt;1,"DUP","UNIQUE")</f>
        <v>UNIQUE</v>
      </c>
      <c r="L52" s="11" t="str">
        <f aca="false">IF(Raw_Data!B52&lt;&gt;Thresholds!$E$1,"STALE","CURRENT")</f>
        <v>CURRENT</v>
      </c>
    </row>
    <row r="53" customFormat="false" ht="15" hidden="false" customHeight="false" outlineLevel="0" collapsed="false">
      <c r="A53" s="15" t="str">
        <f aca="false">Raw_Data!A53</f>
        <v>P0051</v>
      </c>
      <c r="B53" s="15" t="str">
        <f aca="false">Raw_Data!C53</f>
        <v>London Credit</v>
      </c>
      <c r="C53" s="11" t="str">
        <f aca="false">IFERROR(INDEX(Thresholds!$A$2:$A$5,MATCH(TRIM(Raw_Data!D53),Thresholds!$A$2:$A$5,0)),"UNMAPPED")</f>
        <v>Corporate Bond</v>
      </c>
      <c r="D53" s="16" t="n">
        <f aca="false">Raw_Data!G53</f>
        <v>11929</v>
      </c>
      <c r="E53" s="17" t="n">
        <f aca="false">Raw_Data!H53</f>
        <v>102.149</v>
      </c>
      <c r="F53" s="14" t="n">
        <f aca="false">IF(Raw_Data!I53="","",Raw_Data!I53)</f>
        <v>102.112</v>
      </c>
      <c r="G53" s="18" t="n">
        <f aca="false">IF(F53="","",(E53-F53)/F53)</f>
        <v>0.000362347226574802</v>
      </c>
      <c r="H53" s="19" t="n">
        <f aca="false">IFERROR(INDEX(Thresholds!$B$2:$B$5,MATCH(C53,Thresholds!$A$2:$A$5,0)),"")</f>
        <v>0.005</v>
      </c>
      <c r="I53" s="20" t="n">
        <f aca="false">IF(F53="","",D53*(E53-F53))</f>
        <v>441.373000000073</v>
      </c>
      <c r="J53" s="11" t="str">
        <f aca="false">IF(C53="UNMAPPED","UNMAPPED ASSET CLASS",IF(F53="","NO INDEPENDENT PRICE",IF(ABS(G53)&gt;H53,"BREACH","OK")))</f>
        <v>OK</v>
      </c>
      <c r="K53" s="11" t="str">
        <f aca="false">IF(COUNTIF(Raw_Data!$A$2:A53,Raw_Data!A53)&gt;1,"DUP","UNIQUE")</f>
        <v>UNIQUE</v>
      </c>
      <c r="L53" s="11" t="str">
        <f aca="false">IF(Raw_Data!B53&lt;&gt;Thresholds!$E$1,"STALE","CURRENT")</f>
        <v>CURRENT</v>
      </c>
    </row>
    <row r="54" customFormat="false" ht="15" hidden="false" customHeight="false" outlineLevel="0" collapsed="false">
      <c r="A54" s="15" t="str">
        <f aca="false">Raw_Data!A54</f>
        <v>P0052</v>
      </c>
      <c r="B54" s="15" t="str">
        <f aca="false">Raw_Data!C54</f>
        <v>London Rates</v>
      </c>
      <c r="C54" s="11" t="str">
        <f aca="false">IFERROR(INDEX(Thresholds!$A$2:$A$5,MATCH(TRIM(Raw_Data!D54),Thresholds!$A$2:$A$5,0)),"UNMAPPED")</f>
        <v>Government Bond</v>
      </c>
      <c r="D54" s="16" t="n">
        <f aca="false">Raw_Data!G54</f>
        <v>19810</v>
      </c>
      <c r="E54" s="17" t="n">
        <f aca="false">Raw_Data!H54</f>
        <v>102.982</v>
      </c>
      <c r="F54" s="14" t="n">
        <f aca="false">IF(Raw_Data!I54="","",Raw_Data!I54)</f>
        <v>102.834</v>
      </c>
      <c r="G54" s="18" t="n">
        <f aca="false">IF(F54="","",(E54-F54)/F54)</f>
        <v>0.00143921271174899</v>
      </c>
      <c r="H54" s="19" t="n">
        <f aca="false">IFERROR(INDEX(Thresholds!$B$2:$B$5,MATCH(C54,Thresholds!$A$2:$A$5,0)),"")</f>
        <v>0.0025</v>
      </c>
      <c r="I54" s="20" t="n">
        <f aca="false">IF(F54="","",D54*(E54-F54))</f>
        <v>2931.87999999992</v>
      </c>
      <c r="J54" s="11" t="str">
        <f aca="false">IF(C54="UNMAPPED","UNMAPPED ASSET CLASS",IF(F54="","NO INDEPENDENT PRICE",IF(ABS(G54)&gt;H54,"BREACH","OK")))</f>
        <v>OK</v>
      </c>
      <c r="K54" s="11" t="str">
        <f aca="false">IF(COUNTIF(Raw_Data!$A$2:A54,Raw_Data!A54)&gt;1,"DUP","UNIQUE")</f>
        <v>UNIQUE</v>
      </c>
      <c r="L54" s="11" t="str">
        <f aca="false">IF(Raw_Data!B54&lt;&gt;Thresholds!$E$1,"STALE","CURRENT")</f>
        <v>CURRENT</v>
      </c>
    </row>
    <row r="55" customFormat="false" ht="15" hidden="false" customHeight="false" outlineLevel="0" collapsed="false">
      <c r="A55" s="15" t="str">
        <f aca="false">Raw_Data!A55</f>
        <v>P0053</v>
      </c>
      <c r="B55" s="15" t="str">
        <f aca="false">Raw_Data!C55</f>
        <v>London Rates</v>
      </c>
      <c r="C55" s="11" t="str">
        <f aca="false">IFERROR(INDEX(Thresholds!$A$2:$A$5,MATCH(TRIM(Raw_Data!D55),Thresholds!$A$2:$A$5,0)),"UNMAPPED")</f>
        <v>Government Bond</v>
      </c>
      <c r="D55" s="16" t="n">
        <f aca="false">Raw_Data!G55</f>
        <v>7066</v>
      </c>
      <c r="E55" s="17" t="n">
        <f aca="false">Raw_Data!H55</f>
        <v>101.943</v>
      </c>
      <c r="F55" s="14" t="n">
        <f aca="false">IF(Raw_Data!I55="","",Raw_Data!I55)</f>
        <v>101.782</v>
      </c>
      <c r="G55" s="18" t="n">
        <f aca="false">IF(F55="","",(E55-F55)/F55)</f>
        <v>0.00158181210823133</v>
      </c>
      <c r="H55" s="19" t="n">
        <f aca="false">IFERROR(INDEX(Thresholds!$B$2:$B$5,MATCH(C55,Thresholds!$A$2:$A$5,0)),"")</f>
        <v>0.0025</v>
      </c>
      <c r="I55" s="20" t="n">
        <f aca="false">IF(F55="","",D55*(E55-F55))</f>
        <v>1137.62600000001</v>
      </c>
      <c r="J55" s="11" t="str">
        <f aca="false">IF(C55="UNMAPPED","UNMAPPED ASSET CLASS",IF(F55="","NO INDEPENDENT PRICE",IF(ABS(G55)&gt;H55,"BREACH","OK")))</f>
        <v>OK</v>
      </c>
      <c r="K55" s="11" t="str">
        <f aca="false">IF(COUNTIF(Raw_Data!$A$2:A55,Raw_Data!A55)&gt;1,"DUP","UNIQUE")</f>
        <v>UNIQUE</v>
      </c>
      <c r="L55" s="11" t="str">
        <f aca="false">IF(Raw_Data!B55&lt;&gt;Thresholds!$E$1,"STALE","CURRENT")</f>
        <v>CURRENT</v>
      </c>
    </row>
    <row r="56" customFormat="false" ht="15" hidden="false" customHeight="false" outlineLevel="0" collapsed="false">
      <c r="A56" s="15" t="str">
        <f aca="false">Raw_Data!A56</f>
        <v>P0054</v>
      </c>
      <c r="B56" s="15" t="str">
        <f aca="false">Raw_Data!C56</f>
        <v>Zurich Equities</v>
      </c>
      <c r="C56" s="11" t="str">
        <f aca="false">IFERROR(INDEX(Thresholds!$A$2:$A$5,MATCH(TRIM(Raw_Data!D56),Thresholds!$A$2:$A$5,0)),"UNMAPPED")</f>
        <v>Equity</v>
      </c>
      <c r="D56" s="16" t="n">
        <f aca="false">Raw_Data!G56</f>
        <v>30064</v>
      </c>
      <c r="E56" s="17" t="n">
        <f aca="false">Raw_Data!H56</f>
        <v>94.37</v>
      </c>
      <c r="F56" s="14" t="n">
        <f aca="false">IF(Raw_Data!I56="","",Raw_Data!I56)</f>
        <v>93.91</v>
      </c>
      <c r="G56" s="18" t="n">
        <f aca="false">IF(F56="","",(E56-F56)/F56)</f>
        <v>0.00489830688957521</v>
      </c>
      <c r="H56" s="19" t="n">
        <f aca="false">IFERROR(INDEX(Thresholds!$B$2:$B$5,MATCH(C56,Thresholds!$A$2:$A$5,0)),"")</f>
        <v>0.01</v>
      </c>
      <c r="I56" s="20" t="n">
        <f aca="false">IF(F56="","",D56*(E56-F56))</f>
        <v>13829.4400000002</v>
      </c>
      <c r="J56" s="11" t="str">
        <f aca="false">IF(C56="UNMAPPED","UNMAPPED ASSET CLASS",IF(F56="","NO INDEPENDENT PRICE",IF(ABS(G56)&gt;H56,"BREACH","OK")))</f>
        <v>OK</v>
      </c>
      <c r="K56" s="11" t="str">
        <f aca="false">IF(COUNTIF(Raw_Data!$A$2:A56,Raw_Data!A56)&gt;1,"DUP","UNIQUE")</f>
        <v>UNIQUE</v>
      </c>
      <c r="L56" s="11" t="str">
        <f aca="false">IF(Raw_Data!B56&lt;&gt;Thresholds!$E$1,"STALE","CURRENT")</f>
        <v>CURRENT</v>
      </c>
    </row>
    <row r="57" customFormat="false" ht="15" hidden="false" customHeight="false" outlineLevel="0" collapsed="false">
      <c r="A57" s="15" t="str">
        <f aca="false">Raw_Data!A57</f>
        <v>P0055</v>
      </c>
      <c r="B57" s="15" t="str">
        <f aca="false">Raw_Data!C57</f>
        <v>Singapore Equities</v>
      </c>
      <c r="C57" s="11" t="str">
        <f aca="false">IFERROR(INDEX(Thresholds!$A$2:$A$5,MATCH(TRIM(Raw_Data!D57),Thresholds!$A$2:$A$5,0)),"UNMAPPED")</f>
        <v>Equity</v>
      </c>
      <c r="D57" s="16" t="n">
        <f aca="false">Raw_Data!G57</f>
        <v>42229</v>
      </c>
      <c r="E57" s="17" t="n">
        <f aca="false">Raw_Data!H57</f>
        <v>79.54</v>
      </c>
      <c r="F57" s="14" t="n">
        <f aca="false">IF(Raw_Data!I57="","",Raw_Data!I57)</f>
        <v>80.38</v>
      </c>
      <c r="G57" s="18" t="n">
        <f aca="false">IF(F57="","",(E57-F57)/F57)</f>
        <v>-0.0104503607862651</v>
      </c>
      <c r="H57" s="19" t="n">
        <f aca="false">IFERROR(INDEX(Thresholds!$B$2:$B$5,MATCH(C57,Thresholds!$A$2:$A$5,0)),"")</f>
        <v>0.01</v>
      </c>
      <c r="I57" s="20" t="n">
        <f aca="false">IF(F57="","",D57*(E57-F57))</f>
        <v>-35472.3599999995</v>
      </c>
      <c r="J57" s="11" t="str">
        <f aca="false">IF(C57="UNMAPPED","UNMAPPED ASSET CLASS",IF(F57="","NO INDEPENDENT PRICE",IF(ABS(G57)&gt;H57,"BREACH","OK")))</f>
        <v>BREACH</v>
      </c>
      <c r="K57" s="11" t="str">
        <f aca="false">IF(COUNTIF(Raw_Data!$A$2:A57,Raw_Data!A57)&gt;1,"DUP","UNIQUE")</f>
        <v>UNIQUE</v>
      </c>
      <c r="L57" s="11" t="str">
        <f aca="false">IF(Raw_Data!B57&lt;&gt;Thresholds!$E$1,"STALE","CURRENT")</f>
        <v>STALE</v>
      </c>
    </row>
    <row r="58" customFormat="false" ht="15" hidden="false" customHeight="false" outlineLevel="0" collapsed="false">
      <c r="A58" s="15" t="str">
        <f aca="false">Raw_Data!A58</f>
        <v>P0056</v>
      </c>
      <c r="B58" s="15" t="str">
        <f aca="false">Raw_Data!C58</f>
        <v>New York Credit</v>
      </c>
      <c r="C58" s="11" t="str">
        <f aca="false">IFERROR(INDEX(Thresholds!$A$2:$A$5,MATCH(TRIM(Raw_Data!D58),Thresholds!$A$2:$A$5,0)),"UNMAPPED")</f>
        <v>Corporate Bond</v>
      </c>
      <c r="D58" s="16" t="n">
        <f aca="false">Raw_Data!G58</f>
        <v>12526</v>
      </c>
      <c r="E58" s="17" t="n">
        <f aca="false">Raw_Data!H58</f>
        <v>99.632</v>
      </c>
      <c r="F58" s="14" t="n">
        <f aca="false">IF(Raw_Data!I58="","",Raw_Data!I58)</f>
        <v>99.826</v>
      </c>
      <c r="G58" s="18" t="n">
        <f aca="false">IF(F58="","",(E58-F58)/F58)</f>
        <v>-0.00194338148378166</v>
      </c>
      <c r="H58" s="19" t="n">
        <f aca="false">IFERROR(INDEX(Thresholds!$B$2:$B$5,MATCH(C58,Thresholds!$A$2:$A$5,0)),"")</f>
        <v>0.005</v>
      </c>
      <c r="I58" s="20" t="n">
        <f aca="false">IF(F58="","",D58*(E58-F58))</f>
        <v>-2430.04399999986</v>
      </c>
      <c r="J58" s="11" t="str">
        <f aca="false">IF(C58="UNMAPPED","UNMAPPED ASSET CLASS",IF(F58="","NO INDEPENDENT PRICE",IF(ABS(G58)&gt;H58,"BREACH","OK")))</f>
        <v>OK</v>
      </c>
      <c r="K58" s="11" t="str">
        <f aca="false">IF(COUNTIF(Raw_Data!$A$2:A58,Raw_Data!A58)&gt;1,"DUP","UNIQUE")</f>
        <v>UNIQUE</v>
      </c>
      <c r="L58" s="11" t="str">
        <f aca="false">IF(Raw_Data!B58&lt;&gt;Thresholds!$E$1,"STALE","CURRENT")</f>
        <v>CURRENT</v>
      </c>
    </row>
    <row r="59" customFormat="false" ht="15" hidden="false" customHeight="false" outlineLevel="0" collapsed="false">
      <c r="A59" s="15" t="str">
        <f aca="false">Raw_Data!A59</f>
        <v>P0057</v>
      </c>
      <c r="B59" s="15" t="str">
        <f aca="false">Raw_Data!C59</f>
        <v>Singapore Equities</v>
      </c>
      <c r="C59" s="11" t="str">
        <f aca="false">IFERROR(INDEX(Thresholds!$A$2:$A$5,MATCH(TRIM(Raw_Data!D59),Thresholds!$A$2:$A$5,0)),"UNMAPPED")</f>
        <v>Equity</v>
      </c>
      <c r="D59" s="16" t="n">
        <f aca="false">Raw_Data!G59</f>
        <v>525</v>
      </c>
      <c r="E59" s="17" t="n">
        <f aca="false">Raw_Data!H59</f>
        <v>81.72</v>
      </c>
      <c r="F59" s="14" t="n">
        <f aca="false">IF(Raw_Data!I59="","",Raw_Data!I59)</f>
        <v>82.35</v>
      </c>
      <c r="G59" s="18" t="n">
        <f aca="false">IF(F59="","",(E59-F59)/F59)</f>
        <v>-0.00765027322404366</v>
      </c>
      <c r="H59" s="19" t="n">
        <f aca="false">IFERROR(INDEX(Thresholds!$B$2:$B$5,MATCH(C59,Thresholds!$A$2:$A$5,0)),"")</f>
        <v>0.01</v>
      </c>
      <c r="I59" s="20" t="n">
        <f aca="false">IF(F59="","",D59*(E59-F59))</f>
        <v>-330.749999999998</v>
      </c>
      <c r="J59" s="11" t="str">
        <f aca="false">IF(C59="UNMAPPED","UNMAPPED ASSET CLASS",IF(F59="","NO INDEPENDENT PRICE",IF(ABS(G59)&gt;H59,"BREACH","OK")))</f>
        <v>OK</v>
      </c>
      <c r="K59" s="11" t="str">
        <f aca="false">IF(COUNTIF(Raw_Data!$A$2:A59,Raw_Data!A59)&gt;1,"DUP","UNIQUE")</f>
        <v>UNIQUE</v>
      </c>
      <c r="L59" s="11" t="str">
        <f aca="false">IF(Raw_Data!B59&lt;&gt;Thresholds!$E$1,"STALE","CURRENT")</f>
        <v>CURRENT</v>
      </c>
    </row>
    <row r="60" customFormat="false" ht="15" hidden="false" customHeight="false" outlineLevel="0" collapsed="false">
      <c r="A60" s="15" t="str">
        <f aca="false">Raw_Data!A60</f>
        <v>P0058</v>
      </c>
      <c r="B60" s="15" t="str">
        <f aca="false">Raw_Data!C60</f>
        <v>London Credit</v>
      </c>
      <c r="C60" s="11" t="str">
        <f aca="false">IFERROR(INDEX(Thresholds!$A$2:$A$5,MATCH(TRIM(Raw_Data!D60),Thresholds!$A$2:$A$5,0)),"UNMAPPED")</f>
        <v>Corporate Bond</v>
      </c>
      <c r="D60" s="16" t="n">
        <f aca="false">Raw_Data!G60</f>
        <v>4542</v>
      </c>
      <c r="E60" s="17" t="n">
        <f aca="false">Raw_Data!H60</f>
        <v>107.436</v>
      </c>
      <c r="F60" s="14" t="n">
        <f aca="false">IF(Raw_Data!I60="","",Raw_Data!I60)</f>
        <v>107.715</v>
      </c>
      <c r="G60" s="18" t="n">
        <f aca="false">IF(F60="","",(E60-F60)/F60)</f>
        <v>-0.00259016850020885</v>
      </c>
      <c r="H60" s="19" t="n">
        <f aca="false">IFERROR(INDEX(Thresholds!$B$2:$B$5,MATCH(C60,Thresholds!$A$2:$A$5,0)),"")</f>
        <v>0.005</v>
      </c>
      <c r="I60" s="20" t="n">
        <f aca="false">IF(F60="","",D60*(E60-F60))</f>
        <v>-1267.21799999998</v>
      </c>
      <c r="J60" s="11" t="str">
        <f aca="false">IF(C60="UNMAPPED","UNMAPPED ASSET CLASS",IF(F60="","NO INDEPENDENT PRICE",IF(ABS(G60)&gt;H60,"BREACH","OK")))</f>
        <v>OK</v>
      </c>
      <c r="K60" s="11" t="str">
        <f aca="false">IF(COUNTIF(Raw_Data!$A$2:A60,Raw_Data!A60)&gt;1,"DUP","UNIQUE")</f>
        <v>UNIQUE</v>
      </c>
      <c r="L60" s="11" t="str">
        <f aca="false">IF(Raw_Data!B60&lt;&gt;Thresholds!$E$1,"STALE","CURRENT")</f>
        <v>STALE</v>
      </c>
    </row>
    <row r="61" customFormat="false" ht="15" hidden="false" customHeight="false" outlineLevel="0" collapsed="false">
      <c r="A61" s="15" t="str">
        <f aca="false">Raw_Data!A61</f>
        <v>P0059</v>
      </c>
      <c r="B61" s="15" t="str">
        <f aca="false">Raw_Data!C61</f>
        <v>New York Credit</v>
      </c>
      <c r="C61" s="11" t="str">
        <f aca="false">IFERROR(INDEX(Thresholds!$A$2:$A$5,MATCH(TRIM(Raw_Data!D61),Thresholds!$A$2:$A$5,0)),"UNMAPPED")</f>
        <v>Corporate Bond</v>
      </c>
      <c r="D61" s="16" t="n">
        <f aca="false">Raw_Data!G61</f>
        <v>3683</v>
      </c>
      <c r="E61" s="17" t="n">
        <f aca="false">Raw_Data!H61</f>
        <v>104.032</v>
      </c>
      <c r="F61" s="14" t="n">
        <f aca="false">IF(Raw_Data!I61="","",Raw_Data!I61)</f>
        <v>103.934</v>
      </c>
      <c r="G61" s="18" t="n">
        <f aca="false">IF(F61="","",(E61-F61)/F61)</f>
        <v>0.000942906075009131</v>
      </c>
      <c r="H61" s="19" t="n">
        <f aca="false">IFERROR(INDEX(Thresholds!$B$2:$B$5,MATCH(C61,Thresholds!$A$2:$A$5,0)),"")</f>
        <v>0.005</v>
      </c>
      <c r="I61" s="20" t="n">
        <f aca="false">IF(F61="","",D61*(E61-F61))</f>
        <v>360.933999999996</v>
      </c>
      <c r="J61" s="11" t="str">
        <f aca="false">IF(C61="UNMAPPED","UNMAPPED ASSET CLASS",IF(F61="","NO INDEPENDENT PRICE",IF(ABS(G61)&gt;H61,"BREACH","OK")))</f>
        <v>OK</v>
      </c>
      <c r="K61" s="11" t="str">
        <f aca="false">IF(COUNTIF(Raw_Data!$A$2:A61,Raw_Data!A61)&gt;1,"DUP","UNIQUE")</f>
        <v>UNIQUE</v>
      </c>
      <c r="L61" s="11" t="str">
        <f aca="false">IF(Raw_Data!B61&lt;&gt;Thresholds!$E$1,"STALE","CURRENT")</f>
        <v>CURRENT</v>
      </c>
    </row>
    <row r="62" customFormat="false" ht="15" hidden="false" customHeight="false" outlineLevel="0" collapsed="false">
      <c r="A62" s="15" t="str">
        <f aca="false">Raw_Data!A62</f>
        <v>P0060</v>
      </c>
      <c r="B62" s="15" t="str">
        <f aca="false">Raw_Data!C62</f>
        <v>New York Credit</v>
      </c>
      <c r="C62" s="11" t="str">
        <f aca="false">IFERROR(INDEX(Thresholds!$A$2:$A$5,MATCH(TRIM(Raw_Data!D62),Thresholds!$A$2:$A$5,0)),"UNMAPPED")</f>
        <v>Corporate Bond</v>
      </c>
      <c r="D62" s="16" t="n">
        <f aca="false">Raw_Data!G62</f>
        <v>9998</v>
      </c>
      <c r="E62" s="17" t="n">
        <f aca="false">Raw_Data!H62</f>
        <v>104.253</v>
      </c>
      <c r="F62" s="14" t="n">
        <f aca="false">IF(Raw_Data!I62="","",Raw_Data!I62)</f>
        <v>104.617</v>
      </c>
      <c r="G62" s="18" t="n">
        <f aca="false">IF(F62="","",(E62-F62)/F62)</f>
        <v>-0.00347935803932443</v>
      </c>
      <c r="H62" s="19" t="n">
        <f aca="false">IFERROR(INDEX(Thresholds!$B$2:$B$5,MATCH(C62,Thresholds!$A$2:$A$5,0)),"")</f>
        <v>0.005</v>
      </c>
      <c r="I62" s="20" t="n">
        <f aca="false">IF(F62="","",D62*(E62-F62))</f>
        <v>-3639.27200000004</v>
      </c>
      <c r="J62" s="11" t="str">
        <f aca="false">IF(C62="UNMAPPED","UNMAPPED ASSET CLASS",IF(F62="","NO INDEPENDENT PRICE",IF(ABS(G62)&gt;H62,"BREACH","OK")))</f>
        <v>OK</v>
      </c>
      <c r="K62" s="11" t="str">
        <f aca="false">IF(COUNTIF(Raw_Data!$A$2:A62,Raw_Data!A62)&gt;1,"DUP","UNIQUE")</f>
        <v>UNIQUE</v>
      </c>
      <c r="L62" s="11" t="str">
        <f aca="false">IF(Raw_Data!B62&lt;&gt;Thresholds!$E$1,"STALE","CURRENT")</f>
        <v>CURRENT</v>
      </c>
    </row>
    <row r="63" customFormat="false" ht="15" hidden="false" customHeight="false" outlineLevel="0" collapsed="false">
      <c r="A63" s="15" t="str">
        <f aca="false">Raw_Data!A63</f>
        <v>P0061</v>
      </c>
      <c r="B63" s="15" t="str">
        <f aca="false">Raw_Data!C63</f>
        <v>London Credit</v>
      </c>
      <c r="C63" s="11" t="str">
        <f aca="false">IFERROR(INDEX(Thresholds!$A$2:$A$5,MATCH(TRIM(Raw_Data!D63),Thresholds!$A$2:$A$5,0)),"UNMAPPED")</f>
        <v>Corporate Bond</v>
      </c>
      <c r="D63" s="16" t="n">
        <f aca="false">Raw_Data!G63</f>
        <v>2307</v>
      </c>
      <c r="E63" s="17" t="n">
        <f aca="false">Raw_Data!H63</f>
        <v>96.932</v>
      </c>
      <c r="F63" s="14" t="n">
        <f aca="false">IF(Raw_Data!I63="","",Raw_Data!I63)</f>
        <v>97</v>
      </c>
      <c r="G63" s="18" t="n">
        <f aca="false">IF(F63="","",(E63-F63)/F63)</f>
        <v>-0.000701030927835029</v>
      </c>
      <c r="H63" s="19" t="n">
        <f aca="false">IFERROR(INDEX(Thresholds!$B$2:$B$5,MATCH(C63,Thresholds!$A$2:$A$5,0)),"")</f>
        <v>0.005</v>
      </c>
      <c r="I63" s="20" t="n">
        <f aca="false">IF(F63="","",D63*(E63-F63))</f>
        <v>-156.875999999995</v>
      </c>
      <c r="J63" s="11" t="str">
        <f aca="false">IF(C63="UNMAPPED","UNMAPPED ASSET CLASS",IF(F63="","NO INDEPENDENT PRICE",IF(ABS(G63)&gt;H63,"BREACH","OK")))</f>
        <v>OK</v>
      </c>
      <c r="K63" s="11" t="str">
        <f aca="false">IF(COUNTIF(Raw_Data!$A$2:A63,Raw_Data!A63)&gt;1,"DUP","UNIQUE")</f>
        <v>UNIQUE</v>
      </c>
      <c r="L63" s="11" t="str">
        <f aca="false">IF(Raw_Data!B63&lt;&gt;Thresholds!$E$1,"STALE","CURRENT")</f>
        <v>CURRENT</v>
      </c>
    </row>
    <row r="64" customFormat="false" ht="15" hidden="false" customHeight="false" outlineLevel="0" collapsed="false">
      <c r="A64" s="15" t="str">
        <f aca="false">Raw_Data!A64</f>
        <v>P0062</v>
      </c>
      <c r="B64" s="15" t="str">
        <f aca="false">Raw_Data!C64</f>
        <v>Zurich Equities</v>
      </c>
      <c r="C64" s="11" t="str">
        <f aca="false">IFERROR(INDEX(Thresholds!$A$2:$A$5,MATCH(TRIM(Raw_Data!D64),Thresholds!$A$2:$A$5,0)),"UNMAPPED")</f>
        <v>Equity</v>
      </c>
      <c r="D64" s="16" t="n">
        <f aca="false">Raw_Data!G64</f>
        <v>2158</v>
      </c>
      <c r="E64" s="17" t="n">
        <f aca="false">Raw_Data!H64</f>
        <v>38.87</v>
      </c>
      <c r="F64" s="14" t="n">
        <f aca="false">IF(Raw_Data!I64="","",Raw_Data!I64)</f>
        <v>38.86</v>
      </c>
      <c r="G64" s="18" t="n">
        <f aca="false">IF(F64="","",(E64-F64)/F64)</f>
        <v>0.000257334019557334</v>
      </c>
      <c r="H64" s="19" t="n">
        <f aca="false">IFERROR(INDEX(Thresholds!$B$2:$B$5,MATCH(C64,Thresholds!$A$2:$A$5,0)),"")</f>
        <v>0.01</v>
      </c>
      <c r="I64" s="20" t="n">
        <f aca="false">IF(F64="","",D64*(E64-F64))</f>
        <v>21.5799999999957</v>
      </c>
      <c r="J64" s="11" t="str">
        <f aca="false">IF(C64="UNMAPPED","UNMAPPED ASSET CLASS",IF(F64="","NO INDEPENDENT PRICE",IF(ABS(G64)&gt;H64,"BREACH","OK")))</f>
        <v>OK</v>
      </c>
      <c r="K64" s="11" t="str">
        <f aca="false">IF(COUNTIF(Raw_Data!$A$2:A64,Raw_Data!A64)&gt;1,"DUP","UNIQUE")</f>
        <v>UNIQUE</v>
      </c>
      <c r="L64" s="11" t="str">
        <f aca="false">IF(Raw_Data!B64&lt;&gt;Thresholds!$E$1,"STALE","CURRENT")</f>
        <v>CURRENT</v>
      </c>
    </row>
    <row r="65" customFormat="false" ht="15" hidden="false" customHeight="false" outlineLevel="0" collapsed="false">
      <c r="A65" s="15" t="str">
        <f aca="false">Raw_Data!A65</f>
        <v>P0063</v>
      </c>
      <c r="B65" s="15" t="str">
        <f aca="false">Raw_Data!C65</f>
        <v>London Rates</v>
      </c>
      <c r="C65" s="11" t="str">
        <f aca="false">IFERROR(INDEX(Thresholds!$A$2:$A$5,MATCH(TRIM(Raw_Data!D65),Thresholds!$A$2:$A$5,0)),"UNMAPPED")</f>
        <v>Government Bond</v>
      </c>
      <c r="D65" s="16" t="n">
        <f aca="false">Raw_Data!G65</f>
        <v>14244</v>
      </c>
      <c r="E65" s="17" t="n">
        <f aca="false">Raw_Data!H65</f>
        <v>99.639</v>
      </c>
      <c r="F65" s="14" t="n">
        <f aca="false">IF(Raw_Data!I65="","",Raw_Data!I65)</f>
        <v>99.674</v>
      </c>
      <c r="G65" s="18" t="n">
        <f aca="false">IF(F65="","",(E65-F65)/F65)</f>
        <v>-0.00035114473182586</v>
      </c>
      <c r="H65" s="19" t="n">
        <f aca="false">IFERROR(INDEX(Thresholds!$B$2:$B$5,MATCH(C65,Thresholds!$A$2:$A$5,0)),"")</f>
        <v>0.0025</v>
      </c>
      <c r="I65" s="20" t="n">
        <f aca="false">IF(F65="","",D65*(E65-F65))</f>
        <v>-498.540000000154</v>
      </c>
      <c r="J65" s="11" t="str">
        <f aca="false">IF(C65="UNMAPPED","UNMAPPED ASSET CLASS",IF(F65="","NO INDEPENDENT PRICE",IF(ABS(G65)&gt;H65,"BREACH","OK")))</f>
        <v>OK</v>
      </c>
      <c r="K65" s="11" t="str">
        <f aca="false">IF(COUNTIF(Raw_Data!$A$2:A65,Raw_Data!A65)&gt;1,"DUP","UNIQUE")</f>
        <v>UNIQUE</v>
      </c>
      <c r="L65" s="11" t="str">
        <f aca="false">IF(Raw_Data!B65&lt;&gt;Thresholds!$E$1,"STALE","CURRENT")</f>
        <v>CURRENT</v>
      </c>
    </row>
    <row r="66" customFormat="false" ht="15" hidden="false" customHeight="false" outlineLevel="0" collapsed="false">
      <c r="A66" s="15" t="str">
        <f aca="false">Raw_Data!A66</f>
        <v>P0064</v>
      </c>
      <c r="B66" s="15" t="str">
        <f aca="false">Raw_Data!C66</f>
        <v>Singapore FX</v>
      </c>
      <c r="C66" s="11" t="str">
        <f aca="false">IFERROR(INDEX(Thresholds!$A$2:$A$5,MATCH(TRIM(Raw_Data!D66),Thresholds!$A$2:$A$5,0)),"UNMAPPED")</f>
        <v>FX Forward</v>
      </c>
      <c r="D66" s="16" t="n">
        <f aca="false">Raw_Data!G66</f>
        <v>1321127</v>
      </c>
      <c r="E66" s="17" t="n">
        <f aca="false">Raw_Data!H66</f>
        <v>1.39614</v>
      </c>
      <c r="F66" s="14" t="n">
        <f aca="false">IF(Raw_Data!I66="","",Raw_Data!I66)</f>
        <v>1.39669</v>
      </c>
      <c r="G66" s="18" t="n">
        <f aca="false">IF(F66="","",(E66-F66)/F66)</f>
        <v>-0.000393788170603391</v>
      </c>
      <c r="H66" s="19" t="n">
        <f aca="false">IFERROR(INDEX(Thresholds!$B$2:$B$5,MATCH(C66,Thresholds!$A$2:$A$5,0)),"")</f>
        <v>0.003</v>
      </c>
      <c r="I66" s="20" t="n">
        <f aca="false">IF(F66="","",D66*(E66-F66))</f>
        <v>-726.619850000067</v>
      </c>
      <c r="J66" s="11" t="str">
        <f aca="false">IF(C66="UNMAPPED","UNMAPPED ASSET CLASS",IF(F66="","NO INDEPENDENT PRICE",IF(ABS(G66)&gt;H66,"BREACH","OK")))</f>
        <v>OK</v>
      </c>
      <c r="K66" s="11" t="str">
        <f aca="false">IF(COUNTIF(Raw_Data!$A$2:A66,Raw_Data!A66)&gt;1,"DUP","UNIQUE")</f>
        <v>UNIQUE</v>
      </c>
      <c r="L66" s="11" t="str">
        <f aca="false">IF(Raw_Data!B66&lt;&gt;Thresholds!$E$1,"STALE","CURRENT")</f>
        <v>CURRENT</v>
      </c>
    </row>
    <row r="67" customFormat="false" ht="15" hidden="false" customHeight="false" outlineLevel="0" collapsed="false">
      <c r="A67" s="15" t="str">
        <f aca="false">Raw_Data!A67</f>
        <v>P0065</v>
      </c>
      <c r="B67" s="15" t="str">
        <f aca="false">Raw_Data!C67</f>
        <v>Singapore Equities</v>
      </c>
      <c r="C67" s="11" t="str">
        <f aca="false">IFERROR(INDEX(Thresholds!$A$2:$A$5,MATCH(TRIM(Raw_Data!D67),Thresholds!$A$2:$A$5,0)),"UNMAPPED")</f>
        <v>Equity</v>
      </c>
      <c r="D67" s="16" t="n">
        <f aca="false">Raw_Data!G67</f>
        <v>38384</v>
      </c>
      <c r="E67" s="17" t="n">
        <f aca="false">Raw_Data!H67</f>
        <v>36.01</v>
      </c>
      <c r="F67" s="14" t="n">
        <f aca="false">IF(Raw_Data!I67="","",Raw_Data!I67)</f>
        <v>36.12</v>
      </c>
      <c r="G67" s="18" t="n">
        <f aca="false">IF(F67="","",(E67-F67)/F67)</f>
        <v>-0.00304540420819489</v>
      </c>
      <c r="H67" s="19" t="n">
        <f aca="false">IFERROR(INDEX(Thresholds!$B$2:$B$5,MATCH(C67,Thresholds!$A$2:$A$5,0)),"")</f>
        <v>0.01</v>
      </c>
      <c r="I67" s="20" t="n">
        <f aca="false">IF(F67="","",D67*(E67-F67))</f>
        <v>-4222.23999999998</v>
      </c>
      <c r="J67" s="11" t="str">
        <f aca="false">IF(C67="UNMAPPED","UNMAPPED ASSET CLASS",IF(F67="","NO INDEPENDENT PRICE",IF(ABS(G67)&gt;H67,"BREACH","OK")))</f>
        <v>OK</v>
      </c>
      <c r="K67" s="11" t="str">
        <f aca="false">IF(COUNTIF(Raw_Data!$A$2:A67,Raw_Data!A67)&gt;1,"DUP","UNIQUE")</f>
        <v>UNIQUE</v>
      </c>
      <c r="L67" s="11" t="str">
        <f aca="false">IF(Raw_Data!B67&lt;&gt;Thresholds!$E$1,"STALE","CURRENT")</f>
        <v>CURRENT</v>
      </c>
    </row>
    <row r="68" customFormat="false" ht="15" hidden="false" customHeight="false" outlineLevel="0" collapsed="false">
      <c r="A68" s="15" t="str">
        <f aca="false">Raw_Data!A68</f>
        <v>P0066</v>
      </c>
      <c r="B68" s="15" t="str">
        <f aca="false">Raw_Data!C68</f>
        <v>Singapore Equities</v>
      </c>
      <c r="C68" s="11" t="str">
        <f aca="false">IFERROR(INDEX(Thresholds!$A$2:$A$5,MATCH(TRIM(Raw_Data!D68),Thresholds!$A$2:$A$5,0)),"UNMAPPED")</f>
        <v>Equity</v>
      </c>
      <c r="D68" s="16" t="n">
        <f aca="false">Raw_Data!G68</f>
        <v>22641</v>
      </c>
      <c r="E68" s="17" t="n">
        <f aca="false">Raw_Data!H68</f>
        <v>47.08</v>
      </c>
      <c r="F68" s="14" t="n">
        <f aca="false">IF(Raw_Data!I68="","",Raw_Data!I68)</f>
        <v>47.14</v>
      </c>
      <c r="G68" s="18" t="n">
        <f aca="false">IF(F68="","",(E68-F68)/F68)</f>
        <v>-0.00127280441238868</v>
      </c>
      <c r="H68" s="19" t="n">
        <f aca="false">IFERROR(INDEX(Thresholds!$B$2:$B$5,MATCH(C68,Thresholds!$A$2:$A$5,0)),"")</f>
        <v>0.01</v>
      </c>
      <c r="I68" s="20" t="n">
        <f aca="false">IF(F68="","",D68*(E68-F68))</f>
        <v>-1358.46000000005</v>
      </c>
      <c r="J68" s="11" t="str">
        <f aca="false">IF(C68="UNMAPPED","UNMAPPED ASSET CLASS",IF(F68="","NO INDEPENDENT PRICE",IF(ABS(G68)&gt;H68,"BREACH","OK")))</f>
        <v>OK</v>
      </c>
      <c r="K68" s="11" t="str">
        <f aca="false">IF(COUNTIF(Raw_Data!$A$2:A68,Raw_Data!A68)&gt;1,"DUP","UNIQUE")</f>
        <v>UNIQUE</v>
      </c>
      <c r="L68" s="11" t="str">
        <f aca="false">IF(Raw_Data!B68&lt;&gt;Thresholds!$E$1,"STALE","CURRENT")</f>
        <v>CURRENT</v>
      </c>
    </row>
    <row r="69" customFormat="false" ht="15" hidden="false" customHeight="false" outlineLevel="0" collapsed="false">
      <c r="A69" s="15" t="str">
        <f aca="false">Raw_Data!A69</f>
        <v>P0067</v>
      </c>
      <c r="B69" s="15" t="str">
        <f aca="false">Raw_Data!C69</f>
        <v>Singapore FX</v>
      </c>
      <c r="C69" s="11" t="str">
        <f aca="false">IFERROR(INDEX(Thresholds!$A$2:$A$5,MATCH(TRIM(Raw_Data!D69),Thresholds!$A$2:$A$5,0)),"UNMAPPED")</f>
        <v>FX Forward</v>
      </c>
      <c r="D69" s="16" t="n">
        <f aca="false">Raw_Data!G69</f>
        <v>4921871</v>
      </c>
      <c r="E69" s="17" t="n">
        <f aca="false">Raw_Data!H69</f>
        <v>1.17192</v>
      </c>
      <c r="F69" s="14" t="n">
        <f aca="false">IF(Raw_Data!I69="","",Raw_Data!I69)</f>
        <v>1.17058</v>
      </c>
      <c r="G69" s="18" t="n">
        <f aca="false">IF(F69="","",(E69-F69)/F69)</f>
        <v>0.0011447316714792</v>
      </c>
      <c r="H69" s="19" t="n">
        <f aca="false">IFERROR(INDEX(Thresholds!$B$2:$B$5,MATCH(C69,Thresholds!$A$2:$A$5,0)),"")</f>
        <v>0.003</v>
      </c>
      <c r="I69" s="20" t="n">
        <f aca="false">IF(F69="","",D69*(E69-F69))</f>
        <v>6595.30714000059</v>
      </c>
      <c r="J69" s="11" t="str">
        <f aca="false">IF(C69="UNMAPPED","UNMAPPED ASSET CLASS",IF(F69="","NO INDEPENDENT PRICE",IF(ABS(G69)&gt;H69,"BREACH","OK")))</f>
        <v>OK</v>
      </c>
      <c r="K69" s="11" t="str">
        <f aca="false">IF(COUNTIF(Raw_Data!$A$2:A69,Raw_Data!A69)&gt;1,"DUP","UNIQUE")</f>
        <v>UNIQUE</v>
      </c>
      <c r="L69" s="11" t="str">
        <f aca="false">IF(Raw_Data!B69&lt;&gt;Thresholds!$E$1,"STALE","CURRENT")</f>
        <v>CURRENT</v>
      </c>
    </row>
    <row r="70" customFormat="false" ht="15" hidden="false" customHeight="false" outlineLevel="0" collapsed="false">
      <c r="A70" s="15" t="str">
        <f aca="false">Raw_Data!A70</f>
        <v>P0068</v>
      </c>
      <c r="B70" s="15" t="str">
        <f aca="false">Raw_Data!C70</f>
        <v>Singapore Equities</v>
      </c>
      <c r="C70" s="11" t="str">
        <f aca="false">IFERROR(INDEX(Thresholds!$A$2:$A$5,MATCH(TRIM(Raw_Data!D70),Thresholds!$A$2:$A$5,0)),"UNMAPPED")</f>
        <v>Equity</v>
      </c>
      <c r="D70" s="16" t="n">
        <f aca="false">Raw_Data!G70</f>
        <v>36522</v>
      </c>
      <c r="E70" s="17" t="n">
        <f aca="false">Raw_Data!H70</f>
        <v>138.44</v>
      </c>
      <c r="F70" s="14" t="n">
        <f aca="false">IF(Raw_Data!I70="","",Raw_Data!I70)</f>
        <v>136.28</v>
      </c>
      <c r="G70" s="18" t="n">
        <f aca="false">IF(F70="","",(E70-F70)/F70)</f>
        <v>0.0158497211623129</v>
      </c>
      <c r="H70" s="19" t="n">
        <f aca="false">IFERROR(INDEX(Thresholds!$B$2:$B$5,MATCH(C70,Thresholds!$A$2:$A$5,0)),"")</f>
        <v>0.01</v>
      </c>
      <c r="I70" s="20" t="n">
        <f aca="false">IF(F70="","",D70*(E70-F70))</f>
        <v>78887.5199999999</v>
      </c>
      <c r="J70" s="11" t="str">
        <f aca="false">IF(C70="UNMAPPED","UNMAPPED ASSET CLASS",IF(F70="","NO INDEPENDENT PRICE",IF(ABS(G70)&gt;H70,"BREACH","OK")))</f>
        <v>BREACH</v>
      </c>
      <c r="K70" s="11" t="str">
        <f aca="false">IF(COUNTIF(Raw_Data!$A$2:A70,Raw_Data!A70)&gt;1,"DUP","UNIQUE")</f>
        <v>UNIQUE</v>
      </c>
      <c r="L70" s="11" t="str">
        <f aca="false">IF(Raw_Data!B70&lt;&gt;Thresholds!$E$1,"STALE","CURRENT")</f>
        <v>CURRENT</v>
      </c>
    </row>
    <row r="71" customFormat="false" ht="15" hidden="false" customHeight="false" outlineLevel="0" collapsed="false">
      <c r="A71" s="15" t="str">
        <f aca="false">Raw_Data!A71</f>
        <v>P0069</v>
      </c>
      <c r="B71" s="15" t="str">
        <f aca="false">Raw_Data!C71</f>
        <v>Zurich Equities</v>
      </c>
      <c r="C71" s="11" t="str">
        <f aca="false">IFERROR(INDEX(Thresholds!$A$2:$A$5,MATCH(TRIM(Raw_Data!D71),Thresholds!$A$2:$A$5,0)),"UNMAPPED")</f>
        <v>Equity</v>
      </c>
      <c r="D71" s="16" t="n">
        <f aca="false">Raw_Data!G71</f>
        <v>13980</v>
      </c>
      <c r="E71" s="17" t="n">
        <f aca="false">Raw_Data!H71</f>
        <v>94.22</v>
      </c>
      <c r="F71" s="14" t="n">
        <f aca="false">IF(Raw_Data!I71="","",Raw_Data!I71)</f>
        <v>93.88</v>
      </c>
      <c r="G71" s="18" t="n">
        <f aca="false">IF(F71="","",(E71-F71)/F71)</f>
        <v>0.00362164465274823</v>
      </c>
      <c r="H71" s="19" t="n">
        <f aca="false">IFERROR(INDEX(Thresholds!$B$2:$B$5,MATCH(C71,Thresholds!$A$2:$A$5,0)),"")</f>
        <v>0.01</v>
      </c>
      <c r="I71" s="20" t="n">
        <f aca="false">IF(F71="","",D71*(E71-F71))</f>
        <v>4753.20000000005</v>
      </c>
      <c r="J71" s="11" t="str">
        <f aca="false">IF(C71="UNMAPPED","UNMAPPED ASSET CLASS",IF(F71="","NO INDEPENDENT PRICE",IF(ABS(G71)&gt;H71,"BREACH","OK")))</f>
        <v>OK</v>
      </c>
      <c r="K71" s="11" t="str">
        <f aca="false">IF(COUNTIF(Raw_Data!$A$2:A71,Raw_Data!A71)&gt;1,"DUP","UNIQUE")</f>
        <v>UNIQUE</v>
      </c>
      <c r="L71" s="11" t="str">
        <f aca="false">IF(Raw_Data!B71&lt;&gt;Thresholds!$E$1,"STALE","CURRENT")</f>
        <v>CURRENT</v>
      </c>
    </row>
    <row r="72" customFormat="false" ht="15" hidden="false" customHeight="false" outlineLevel="0" collapsed="false">
      <c r="A72" s="15" t="str">
        <f aca="false">Raw_Data!A72</f>
        <v>P0070</v>
      </c>
      <c r="B72" s="15" t="str">
        <f aca="false">Raw_Data!C72</f>
        <v>Zurich Equities</v>
      </c>
      <c r="C72" s="11" t="str">
        <f aca="false">IFERROR(INDEX(Thresholds!$A$2:$A$5,MATCH(TRIM(Raw_Data!D72),Thresholds!$A$2:$A$5,0)),"UNMAPPED")</f>
        <v>Equity</v>
      </c>
      <c r="D72" s="16" t="n">
        <f aca="false">Raw_Data!G72</f>
        <v>17189</v>
      </c>
      <c r="E72" s="17" t="n">
        <f aca="false">Raw_Data!H72</f>
        <v>137.38</v>
      </c>
      <c r="F72" s="14" t="n">
        <f aca="false">IF(Raw_Data!I72="","",Raw_Data!I72)</f>
        <v>138.11</v>
      </c>
      <c r="G72" s="18" t="n">
        <f aca="false">IF(F72="","",(E72-F72)/F72)</f>
        <v>-0.00528564187966127</v>
      </c>
      <c r="H72" s="19" t="n">
        <f aca="false">IFERROR(INDEX(Thresholds!$B$2:$B$5,MATCH(C72,Thresholds!$A$2:$A$5,0)),"")</f>
        <v>0.01</v>
      </c>
      <c r="I72" s="20" t="n">
        <f aca="false">IF(F72="","",D72*(E72-F72))</f>
        <v>-12547.9700000003</v>
      </c>
      <c r="J72" s="11" t="str">
        <f aca="false">IF(C72="UNMAPPED","UNMAPPED ASSET CLASS",IF(F72="","NO INDEPENDENT PRICE",IF(ABS(G72)&gt;H72,"BREACH","OK")))</f>
        <v>OK</v>
      </c>
      <c r="K72" s="11" t="str">
        <f aca="false">IF(COUNTIF(Raw_Data!$A$2:A72,Raw_Data!A72)&gt;1,"DUP","UNIQUE")</f>
        <v>UNIQUE</v>
      </c>
      <c r="L72" s="11" t="str">
        <f aca="false">IF(Raw_Data!B72&lt;&gt;Thresholds!$E$1,"STALE","CURRENT")</f>
        <v>CURRENT</v>
      </c>
    </row>
    <row r="73" customFormat="false" ht="15" hidden="false" customHeight="false" outlineLevel="0" collapsed="false">
      <c r="A73" s="15" t="str">
        <f aca="false">Raw_Data!A73</f>
        <v>P0071</v>
      </c>
      <c r="B73" s="15" t="str">
        <f aca="false">Raw_Data!C73</f>
        <v>Singapore FX</v>
      </c>
      <c r="C73" s="11" t="str">
        <f aca="false">IFERROR(INDEX(Thresholds!$A$2:$A$5,MATCH(TRIM(Raw_Data!D73),Thresholds!$A$2:$A$5,0)),"UNMAPPED")</f>
        <v>FX Forward</v>
      </c>
      <c r="D73" s="16" t="n">
        <f aca="false">Raw_Data!G73</f>
        <v>3434331</v>
      </c>
      <c r="E73" s="17" t="n">
        <f aca="false">Raw_Data!H73</f>
        <v>1.22326</v>
      </c>
      <c r="F73" s="14" t="n">
        <f aca="false">IF(Raw_Data!I73="","",Raw_Data!I73)</f>
        <v>1.2234</v>
      </c>
      <c r="G73" s="18" t="n">
        <f aca="false">IF(F73="","",(E73-F73)/F73)</f>
        <v>-0.00011443518064413</v>
      </c>
      <c r="H73" s="19" t="n">
        <f aca="false">IFERROR(INDEX(Thresholds!$B$2:$B$5,MATCH(C73,Thresholds!$A$2:$A$5,0)),"")</f>
        <v>0.003</v>
      </c>
      <c r="I73" s="20" t="n">
        <f aca="false">IF(F73="","",D73*(E73-F73))</f>
        <v>-480.8063400001</v>
      </c>
      <c r="J73" s="11" t="str">
        <f aca="false">IF(C73="UNMAPPED","UNMAPPED ASSET CLASS",IF(F73="","NO INDEPENDENT PRICE",IF(ABS(G73)&gt;H73,"BREACH","OK")))</f>
        <v>OK</v>
      </c>
      <c r="K73" s="11" t="str">
        <f aca="false">IF(COUNTIF(Raw_Data!$A$2:A73,Raw_Data!A73)&gt;1,"DUP","UNIQUE")</f>
        <v>UNIQUE</v>
      </c>
      <c r="L73" s="11" t="str">
        <f aca="false">IF(Raw_Data!B73&lt;&gt;Thresholds!$E$1,"STALE","CURRENT")</f>
        <v>CURRENT</v>
      </c>
    </row>
    <row r="74" customFormat="false" ht="15" hidden="false" customHeight="false" outlineLevel="0" collapsed="false">
      <c r="A74" s="15" t="str">
        <f aca="false">Raw_Data!A74</f>
        <v>P0072</v>
      </c>
      <c r="B74" s="15" t="str">
        <f aca="false">Raw_Data!C74</f>
        <v>Singapore Equities</v>
      </c>
      <c r="C74" s="11" t="str">
        <f aca="false">IFERROR(INDEX(Thresholds!$A$2:$A$5,MATCH(TRIM(Raw_Data!D74),Thresholds!$A$2:$A$5,0)),"UNMAPPED")</f>
        <v>Equity</v>
      </c>
      <c r="D74" s="16" t="n">
        <f aca="false">Raw_Data!G74</f>
        <v>10465</v>
      </c>
      <c r="E74" s="17" t="n">
        <f aca="false">Raw_Data!H74</f>
        <v>235.21</v>
      </c>
      <c r="F74" s="14" t="n">
        <f aca="false">IF(Raw_Data!I74="","",Raw_Data!I74)</f>
        <v>235.74</v>
      </c>
      <c r="G74" s="18" t="n">
        <f aca="false">IF(F74="","",(E74-F74)/F74)</f>
        <v>-0.00224823958598456</v>
      </c>
      <c r="H74" s="19" t="n">
        <f aca="false">IFERROR(INDEX(Thresholds!$B$2:$B$5,MATCH(C74,Thresholds!$A$2:$A$5,0)),"")</f>
        <v>0.01</v>
      </c>
      <c r="I74" s="20" t="n">
        <f aca="false">IF(F74="","",D74*(E74-F74))</f>
        <v>-5546.45000000001</v>
      </c>
      <c r="J74" s="11" t="str">
        <f aca="false">IF(C74="UNMAPPED","UNMAPPED ASSET CLASS",IF(F74="","NO INDEPENDENT PRICE",IF(ABS(G74)&gt;H74,"BREACH","OK")))</f>
        <v>OK</v>
      </c>
      <c r="K74" s="11" t="str">
        <f aca="false">IF(COUNTIF(Raw_Data!$A$2:A74,Raw_Data!A74)&gt;1,"DUP","UNIQUE")</f>
        <v>UNIQUE</v>
      </c>
      <c r="L74" s="11" t="str">
        <f aca="false">IF(Raw_Data!B74&lt;&gt;Thresholds!$E$1,"STALE","CURRENT")</f>
        <v>CURRENT</v>
      </c>
    </row>
    <row r="75" customFormat="false" ht="15" hidden="false" customHeight="false" outlineLevel="0" collapsed="false">
      <c r="A75" s="15" t="str">
        <f aca="false">Raw_Data!A75</f>
        <v>P0073</v>
      </c>
      <c r="B75" s="15" t="str">
        <f aca="false">Raw_Data!C75</f>
        <v>Zurich Equities</v>
      </c>
      <c r="C75" s="11" t="str">
        <f aca="false">IFERROR(INDEX(Thresholds!$A$2:$A$5,MATCH(TRIM(Raw_Data!D75),Thresholds!$A$2:$A$5,0)),"UNMAPPED")</f>
        <v>Equity</v>
      </c>
      <c r="D75" s="16" t="n">
        <f aca="false">Raw_Data!G75</f>
        <v>37434</v>
      </c>
      <c r="E75" s="17" t="n">
        <f aca="false">Raw_Data!H75</f>
        <v>209.06</v>
      </c>
      <c r="F75" s="14" t="n">
        <f aca="false">IF(Raw_Data!I75="","",Raw_Data!I75)</f>
        <v>209.01</v>
      </c>
      <c r="G75" s="18" t="n">
        <f aca="false">IF(F75="","",(E75-F75)/F75)</f>
        <v>0.000239223003684089</v>
      </c>
      <c r="H75" s="19" t="n">
        <f aca="false">IFERROR(INDEX(Thresholds!$B$2:$B$5,MATCH(C75,Thresholds!$A$2:$A$5,0)),"")</f>
        <v>0.01</v>
      </c>
      <c r="I75" s="20" t="n">
        <f aca="false">IF(F75="","",D75*(E75-F75))</f>
        <v>1871.70000000043</v>
      </c>
      <c r="J75" s="11" t="str">
        <f aca="false">IF(C75="UNMAPPED","UNMAPPED ASSET CLASS",IF(F75="","NO INDEPENDENT PRICE",IF(ABS(G75)&gt;H75,"BREACH","OK")))</f>
        <v>OK</v>
      </c>
      <c r="K75" s="11" t="str">
        <f aca="false">IF(COUNTIF(Raw_Data!$A$2:A75,Raw_Data!A75)&gt;1,"DUP","UNIQUE")</f>
        <v>UNIQUE</v>
      </c>
      <c r="L75" s="11" t="str">
        <f aca="false">IF(Raw_Data!B75&lt;&gt;Thresholds!$E$1,"STALE","CURRENT")</f>
        <v>CURRENT</v>
      </c>
    </row>
    <row r="76" customFormat="false" ht="15" hidden="false" customHeight="false" outlineLevel="0" collapsed="false">
      <c r="A76" s="15" t="str">
        <f aca="false">Raw_Data!A76</f>
        <v>P0074</v>
      </c>
      <c r="B76" s="15" t="str">
        <f aca="false">Raw_Data!C76</f>
        <v>Singapore Equities</v>
      </c>
      <c r="C76" s="11" t="str">
        <f aca="false">IFERROR(INDEX(Thresholds!$A$2:$A$5,MATCH(TRIM(Raw_Data!D76),Thresholds!$A$2:$A$5,0)),"UNMAPPED")</f>
        <v>Equity</v>
      </c>
      <c r="D76" s="16" t="n">
        <f aca="false">Raw_Data!G76</f>
        <v>32116</v>
      </c>
      <c r="E76" s="17" t="n">
        <f aca="false">Raw_Data!H76</f>
        <v>77.01</v>
      </c>
      <c r="F76" s="14" t="n">
        <f aca="false">IF(Raw_Data!I76="","",Raw_Data!I76)</f>
        <v>75.66</v>
      </c>
      <c r="G76" s="18" t="n">
        <f aca="false">IF(F76="","",(E76-F76)/F76)</f>
        <v>0.0178429817605076</v>
      </c>
      <c r="H76" s="19" t="n">
        <f aca="false">IFERROR(INDEX(Thresholds!$B$2:$B$5,MATCH(C76,Thresholds!$A$2:$A$5,0)),"")</f>
        <v>0.01</v>
      </c>
      <c r="I76" s="20" t="n">
        <f aca="false">IF(F76="","",D76*(E76-F76))</f>
        <v>43356.6000000003</v>
      </c>
      <c r="J76" s="11" t="str">
        <f aca="false">IF(C76="UNMAPPED","UNMAPPED ASSET CLASS",IF(F76="","NO INDEPENDENT PRICE",IF(ABS(G76)&gt;H76,"BREACH","OK")))</f>
        <v>BREACH</v>
      </c>
      <c r="K76" s="11" t="str">
        <f aca="false">IF(COUNTIF(Raw_Data!$A$2:A76,Raw_Data!A76)&gt;1,"DUP","UNIQUE")</f>
        <v>UNIQUE</v>
      </c>
      <c r="L76" s="11" t="str">
        <f aca="false">IF(Raw_Data!B76&lt;&gt;Thresholds!$E$1,"STALE","CURRENT")</f>
        <v>CURRENT</v>
      </c>
    </row>
    <row r="77" customFormat="false" ht="15" hidden="false" customHeight="false" outlineLevel="0" collapsed="false">
      <c r="A77" s="15" t="str">
        <f aca="false">Raw_Data!A77</f>
        <v>P0075</v>
      </c>
      <c r="B77" s="15" t="str">
        <f aca="false">Raw_Data!C77</f>
        <v>Singapore Equities</v>
      </c>
      <c r="C77" s="11" t="str">
        <f aca="false">IFERROR(INDEX(Thresholds!$A$2:$A$5,MATCH(TRIM(Raw_Data!D77),Thresholds!$A$2:$A$5,0)),"UNMAPPED")</f>
        <v>Equity</v>
      </c>
      <c r="D77" s="16" t="n">
        <f aca="false">Raw_Data!G77</f>
        <v>44020</v>
      </c>
      <c r="E77" s="17" t="n">
        <f aca="false">Raw_Data!H77</f>
        <v>119.48</v>
      </c>
      <c r="F77" s="14" t="n">
        <f aca="false">IF(Raw_Data!I77="","",Raw_Data!I77)</f>
        <v>119.15</v>
      </c>
      <c r="G77" s="18" t="n">
        <f aca="false">IF(F77="","",(E77-F77)/F77)</f>
        <v>0.00276961812840955</v>
      </c>
      <c r="H77" s="19" t="n">
        <f aca="false">IFERROR(INDEX(Thresholds!$B$2:$B$5,MATCH(C77,Thresholds!$A$2:$A$5,0)),"")</f>
        <v>0.01</v>
      </c>
      <c r="I77" s="20" t="n">
        <f aca="false">IF(F77="","",D77*(E77-F77))</f>
        <v>14526.5999999999</v>
      </c>
      <c r="J77" s="11" t="str">
        <f aca="false">IF(C77="UNMAPPED","UNMAPPED ASSET CLASS",IF(F77="","NO INDEPENDENT PRICE",IF(ABS(G77)&gt;H77,"BREACH","OK")))</f>
        <v>OK</v>
      </c>
      <c r="K77" s="11" t="str">
        <f aca="false">IF(COUNTIF(Raw_Data!$A$2:A77,Raw_Data!A77)&gt;1,"DUP","UNIQUE")</f>
        <v>UNIQUE</v>
      </c>
      <c r="L77" s="11" t="str">
        <f aca="false">IF(Raw_Data!B77&lt;&gt;Thresholds!$E$1,"STALE","CURRENT")</f>
        <v>CURRENT</v>
      </c>
    </row>
    <row r="78" customFormat="false" ht="15" hidden="false" customHeight="false" outlineLevel="0" collapsed="false">
      <c r="A78" s="15" t="str">
        <f aca="false">Raw_Data!A78</f>
        <v>P0076</v>
      </c>
      <c r="B78" s="15" t="str">
        <f aca="false">Raw_Data!C78</f>
        <v>New York Credit</v>
      </c>
      <c r="C78" s="11" t="str">
        <f aca="false">IFERROR(INDEX(Thresholds!$A$2:$A$5,MATCH(TRIM(Raw_Data!D78),Thresholds!$A$2:$A$5,0)),"UNMAPPED")</f>
        <v>Corporate Bond</v>
      </c>
      <c r="D78" s="16" t="n">
        <f aca="false">Raw_Data!G78</f>
        <v>9742</v>
      </c>
      <c r="E78" s="17" t="n">
        <f aca="false">Raw_Data!H78</f>
        <v>104.836</v>
      </c>
      <c r="F78" s="14" t="n">
        <f aca="false">IF(Raw_Data!I78="","",Raw_Data!I78)</f>
        <v>104.523</v>
      </c>
      <c r="G78" s="18" t="n">
        <f aca="false">IF(F78="","",(E78-F78)/F78)</f>
        <v>0.00299455622207555</v>
      </c>
      <c r="H78" s="19" t="n">
        <f aca="false">IFERROR(INDEX(Thresholds!$B$2:$B$5,MATCH(C78,Thresholds!$A$2:$A$5,0)),"")</f>
        <v>0.005</v>
      </c>
      <c r="I78" s="20" t="n">
        <f aca="false">IF(F78="","",D78*(E78-F78))</f>
        <v>3049.24600000002</v>
      </c>
      <c r="J78" s="11" t="str">
        <f aca="false">IF(C78="UNMAPPED","UNMAPPED ASSET CLASS",IF(F78="","NO INDEPENDENT PRICE",IF(ABS(G78)&gt;H78,"BREACH","OK")))</f>
        <v>OK</v>
      </c>
      <c r="K78" s="11" t="str">
        <f aca="false">IF(COUNTIF(Raw_Data!$A$2:A78,Raw_Data!A78)&gt;1,"DUP","UNIQUE")</f>
        <v>UNIQUE</v>
      </c>
      <c r="L78" s="11" t="str">
        <f aca="false">IF(Raw_Data!B78&lt;&gt;Thresholds!$E$1,"STALE","CURRENT")</f>
        <v>CURRENT</v>
      </c>
    </row>
    <row r="79" customFormat="false" ht="15" hidden="false" customHeight="false" outlineLevel="0" collapsed="false">
      <c r="A79" s="15" t="str">
        <f aca="false">Raw_Data!A79</f>
        <v>P0077</v>
      </c>
      <c r="B79" s="15" t="str">
        <f aca="false">Raw_Data!C79</f>
        <v>Singapore FX</v>
      </c>
      <c r="C79" s="11" t="str">
        <f aca="false">IFERROR(INDEX(Thresholds!$A$2:$A$5,MATCH(TRIM(Raw_Data!D79),Thresholds!$A$2:$A$5,0)),"UNMAPPED")</f>
        <v>FX Forward</v>
      </c>
      <c r="D79" s="16" t="n">
        <f aca="false">Raw_Data!G79</f>
        <v>1159030</v>
      </c>
      <c r="E79" s="17" t="n">
        <f aca="false">Raw_Data!H79</f>
        <v>1.56482</v>
      </c>
      <c r="F79" s="14" t="n">
        <f aca="false">IF(Raw_Data!I79="","",Raw_Data!I79)</f>
        <v>1.56856</v>
      </c>
      <c r="G79" s="18" t="n">
        <f aca="false">IF(F79="","",(E79-F79)/F79)</f>
        <v>-0.00238435252715858</v>
      </c>
      <c r="H79" s="19" t="n">
        <f aca="false">IFERROR(INDEX(Thresholds!$B$2:$B$5,MATCH(C79,Thresholds!$A$2:$A$5,0)),"")</f>
        <v>0.003</v>
      </c>
      <c r="I79" s="20" t="n">
        <f aca="false">IF(F79="","",D79*(E79-F79))</f>
        <v>-4334.77219999983</v>
      </c>
      <c r="J79" s="11" t="str">
        <f aca="false">IF(C79="UNMAPPED","UNMAPPED ASSET CLASS",IF(F79="","NO INDEPENDENT PRICE",IF(ABS(G79)&gt;H79,"BREACH","OK")))</f>
        <v>OK</v>
      </c>
      <c r="K79" s="11" t="str">
        <f aca="false">IF(COUNTIF(Raw_Data!$A$2:A79,Raw_Data!A79)&gt;1,"DUP","UNIQUE")</f>
        <v>UNIQUE</v>
      </c>
      <c r="L79" s="11" t="str">
        <f aca="false">IF(Raw_Data!B79&lt;&gt;Thresholds!$E$1,"STALE","CURRENT")</f>
        <v>CURRENT</v>
      </c>
    </row>
    <row r="80" customFormat="false" ht="15" hidden="false" customHeight="false" outlineLevel="0" collapsed="false">
      <c r="A80" s="15" t="str">
        <f aca="false">Raw_Data!A80</f>
        <v>P0078</v>
      </c>
      <c r="B80" s="15" t="str">
        <f aca="false">Raw_Data!C80</f>
        <v>Singapore Equities</v>
      </c>
      <c r="C80" s="11" t="str">
        <f aca="false">IFERROR(INDEX(Thresholds!$A$2:$A$5,MATCH(TRIM(Raw_Data!D80),Thresholds!$A$2:$A$5,0)),"UNMAPPED")</f>
        <v>Equity</v>
      </c>
      <c r="D80" s="16" t="n">
        <f aca="false">Raw_Data!G80</f>
        <v>6281</v>
      </c>
      <c r="E80" s="17" t="n">
        <f aca="false">Raw_Data!H80</f>
        <v>88.04</v>
      </c>
      <c r="F80" s="14" t="n">
        <f aca="false">IF(Raw_Data!I80="","",Raw_Data!I80)</f>
        <v>88.49</v>
      </c>
      <c r="G80" s="18" t="n">
        <f aca="false">IF(F80="","",(E80-F80)/F80)</f>
        <v>-0.00508532037518351</v>
      </c>
      <c r="H80" s="19" t="n">
        <f aca="false">IFERROR(INDEX(Thresholds!$B$2:$B$5,MATCH(C80,Thresholds!$A$2:$A$5,0)),"")</f>
        <v>0.01</v>
      </c>
      <c r="I80" s="20" t="n">
        <f aca="false">IF(F80="","",D80*(E80-F80))</f>
        <v>-2826.44999999993</v>
      </c>
      <c r="J80" s="11" t="str">
        <f aca="false">IF(C80="UNMAPPED","UNMAPPED ASSET CLASS",IF(F80="","NO INDEPENDENT PRICE",IF(ABS(G80)&gt;H80,"BREACH","OK")))</f>
        <v>OK</v>
      </c>
      <c r="K80" s="11" t="str">
        <f aca="false">IF(COUNTIF(Raw_Data!$A$2:A80,Raw_Data!A80)&gt;1,"DUP","UNIQUE")</f>
        <v>UNIQUE</v>
      </c>
      <c r="L80" s="11" t="str">
        <f aca="false">IF(Raw_Data!B80&lt;&gt;Thresholds!$E$1,"STALE","CURRENT")</f>
        <v>CURRENT</v>
      </c>
    </row>
    <row r="81" customFormat="false" ht="15" hidden="false" customHeight="false" outlineLevel="0" collapsed="false">
      <c r="A81" s="15" t="str">
        <f aca="false">Raw_Data!A81</f>
        <v>P0079</v>
      </c>
      <c r="B81" s="15" t="str">
        <f aca="false">Raw_Data!C81</f>
        <v>Zurich FX</v>
      </c>
      <c r="C81" s="11" t="str">
        <f aca="false">IFERROR(INDEX(Thresholds!$A$2:$A$5,MATCH(TRIM(Raw_Data!D81),Thresholds!$A$2:$A$5,0)),"UNMAPPED")</f>
        <v>FX Forward</v>
      </c>
      <c r="D81" s="16" t="n">
        <f aca="false">Raw_Data!G81</f>
        <v>1984925</v>
      </c>
      <c r="E81" s="17" t="n">
        <f aca="false">Raw_Data!H81</f>
        <v>0.91075</v>
      </c>
      <c r="F81" s="14" t="n">
        <f aca="false">IF(Raw_Data!I81="","",Raw_Data!I81)</f>
        <v>0.90936</v>
      </c>
      <c r="G81" s="18" t="n">
        <f aca="false">IF(F81="","",(E81-F81)/F81)</f>
        <v>0.00152854754992522</v>
      </c>
      <c r="H81" s="19" t="n">
        <f aca="false">IFERROR(INDEX(Thresholds!$B$2:$B$5,MATCH(C81,Thresholds!$A$2:$A$5,0)),"")</f>
        <v>0.003</v>
      </c>
      <c r="I81" s="20" t="n">
        <f aca="false">IF(F81="","",D81*(E81-F81))</f>
        <v>2759.04575000001</v>
      </c>
      <c r="J81" s="11" t="str">
        <f aca="false">IF(C81="UNMAPPED","UNMAPPED ASSET CLASS",IF(F81="","NO INDEPENDENT PRICE",IF(ABS(G81)&gt;H81,"BREACH","OK")))</f>
        <v>OK</v>
      </c>
      <c r="K81" s="11" t="str">
        <f aca="false">IF(COUNTIF(Raw_Data!$A$2:A81,Raw_Data!A81)&gt;1,"DUP","UNIQUE")</f>
        <v>UNIQUE</v>
      </c>
      <c r="L81" s="11" t="str">
        <f aca="false">IF(Raw_Data!B81&lt;&gt;Thresholds!$E$1,"STALE","CURRENT")</f>
        <v>CURRENT</v>
      </c>
    </row>
    <row r="82" customFormat="false" ht="15" hidden="false" customHeight="false" outlineLevel="0" collapsed="false">
      <c r="A82" s="15" t="str">
        <f aca="false">Raw_Data!A82</f>
        <v>P0080</v>
      </c>
      <c r="B82" s="15" t="str">
        <f aca="false">Raw_Data!C82</f>
        <v>New York Credit</v>
      </c>
      <c r="C82" s="11" t="str">
        <f aca="false">IFERROR(INDEX(Thresholds!$A$2:$A$5,MATCH(TRIM(Raw_Data!D82),Thresholds!$A$2:$A$5,0)),"UNMAPPED")</f>
        <v>Corporate Bond</v>
      </c>
      <c r="D82" s="16" t="n">
        <f aca="false">Raw_Data!G82</f>
        <v>18675</v>
      </c>
      <c r="E82" s="17" t="n">
        <f aca="false">Raw_Data!H82</f>
        <v>92.31</v>
      </c>
      <c r="F82" s="14" t="str">
        <f aca="false">IF(Raw_Data!I82="","",Raw_Data!I82)</f>
        <v/>
      </c>
      <c r="G82" s="18" t="str">
        <f aca="false">IF(F82="","",(E82-F82)/F82)</f>
        <v/>
      </c>
      <c r="H82" s="19" t="n">
        <f aca="false">IFERROR(INDEX(Thresholds!$B$2:$B$5,MATCH(C82,Thresholds!$A$2:$A$5,0)),"")</f>
        <v>0.005</v>
      </c>
      <c r="I82" s="20" t="str">
        <f aca="false">IF(F82="","",D82*(E82-F82))</f>
        <v/>
      </c>
      <c r="J82" s="11" t="str">
        <f aca="false">IF(C82="UNMAPPED","UNMAPPED ASSET CLASS",IF(F82="","NO INDEPENDENT PRICE",IF(ABS(G82)&gt;H82,"BREACH","OK")))</f>
        <v>NO INDEPENDENT PRICE</v>
      </c>
      <c r="K82" s="11" t="str">
        <f aca="false">IF(COUNTIF(Raw_Data!$A$2:A82,Raw_Data!A82)&gt;1,"DUP","UNIQUE")</f>
        <v>UNIQUE</v>
      </c>
      <c r="L82" s="11" t="str">
        <f aca="false">IF(Raw_Data!B82&lt;&gt;Thresholds!$E$1,"STALE","CURRENT")</f>
        <v>CURRENT</v>
      </c>
    </row>
    <row r="83" customFormat="false" ht="15" hidden="false" customHeight="false" outlineLevel="0" collapsed="false">
      <c r="A83" s="15" t="str">
        <f aca="false">Raw_Data!A83</f>
        <v>P0081</v>
      </c>
      <c r="B83" s="15" t="str">
        <f aca="false">Raw_Data!C83</f>
        <v>Zurich FX</v>
      </c>
      <c r="C83" s="11" t="str">
        <f aca="false">IFERROR(INDEX(Thresholds!$A$2:$A$5,MATCH(TRIM(Raw_Data!D83),Thresholds!$A$2:$A$5,0)),"UNMAPPED")</f>
        <v>FX Forward</v>
      </c>
      <c r="D83" s="16" t="n">
        <f aca="false">Raw_Data!G83</f>
        <v>4363433</v>
      </c>
      <c r="E83" s="17" t="n">
        <f aca="false">Raw_Data!H83</f>
        <v>1.05679</v>
      </c>
      <c r="F83" s="14" t="n">
        <f aca="false">IF(Raw_Data!I83="","",Raw_Data!I83)</f>
        <v>1.05616</v>
      </c>
      <c r="G83" s="18" t="n">
        <f aca="false">IF(F83="","",(E83-F83)/F83)</f>
        <v>0.000596500530222607</v>
      </c>
      <c r="H83" s="19" t="n">
        <f aca="false">IFERROR(INDEX(Thresholds!$B$2:$B$5,MATCH(C83,Thresholds!$A$2:$A$5,0)),"")</f>
        <v>0.003</v>
      </c>
      <c r="I83" s="20" t="n">
        <f aca="false">IF(F83="","",D83*(E83-F83))</f>
        <v>2748.9627899996</v>
      </c>
      <c r="J83" s="11" t="str">
        <f aca="false">IF(C83="UNMAPPED","UNMAPPED ASSET CLASS",IF(F83="","NO INDEPENDENT PRICE",IF(ABS(G83)&gt;H83,"BREACH","OK")))</f>
        <v>OK</v>
      </c>
      <c r="K83" s="11" t="str">
        <f aca="false">IF(COUNTIF(Raw_Data!$A$2:A83,Raw_Data!A83)&gt;1,"DUP","UNIQUE")</f>
        <v>UNIQUE</v>
      </c>
      <c r="L83" s="11" t="str">
        <f aca="false">IF(Raw_Data!B83&lt;&gt;Thresholds!$E$1,"STALE","CURRENT")</f>
        <v>CURRENT</v>
      </c>
    </row>
    <row r="84" customFormat="false" ht="15" hidden="false" customHeight="false" outlineLevel="0" collapsed="false">
      <c r="A84" s="15" t="str">
        <f aca="false">Raw_Data!A84</f>
        <v>P0082</v>
      </c>
      <c r="B84" s="15" t="str">
        <f aca="false">Raw_Data!C84</f>
        <v>London Credit</v>
      </c>
      <c r="C84" s="11" t="str">
        <f aca="false">IFERROR(INDEX(Thresholds!$A$2:$A$5,MATCH(TRIM(Raw_Data!D84),Thresholds!$A$2:$A$5,0)),"UNMAPPED")</f>
        <v>Corporate Bond</v>
      </c>
      <c r="D84" s="16" t="n">
        <f aca="false">Raw_Data!G84</f>
        <v>4492</v>
      </c>
      <c r="E84" s="17" t="n">
        <f aca="false">Raw_Data!H84</f>
        <v>106.283</v>
      </c>
      <c r="F84" s="14" t="n">
        <f aca="false">IF(Raw_Data!I84="","",Raw_Data!I84)</f>
        <v>106.105</v>
      </c>
      <c r="G84" s="18" t="n">
        <f aca="false">IF(F84="","",(E84-F84)/F84)</f>
        <v>0.00167758352575277</v>
      </c>
      <c r="H84" s="19" t="n">
        <f aca="false">IFERROR(INDEX(Thresholds!$B$2:$B$5,MATCH(C84,Thresholds!$A$2:$A$5,0)),"")</f>
        <v>0.005</v>
      </c>
      <c r="I84" s="20" t="n">
        <f aca="false">IF(F84="","",D84*(E84-F84))</f>
        <v>799.575999999988</v>
      </c>
      <c r="J84" s="11" t="str">
        <f aca="false">IF(C84="UNMAPPED","UNMAPPED ASSET CLASS",IF(F84="","NO INDEPENDENT PRICE",IF(ABS(G84)&gt;H84,"BREACH","OK")))</f>
        <v>OK</v>
      </c>
      <c r="K84" s="11" t="str">
        <f aca="false">IF(COUNTIF(Raw_Data!$A$2:A84,Raw_Data!A84)&gt;1,"DUP","UNIQUE")</f>
        <v>UNIQUE</v>
      </c>
      <c r="L84" s="11" t="str">
        <f aca="false">IF(Raw_Data!B84&lt;&gt;Thresholds!$E$1,"STALE","CURRENT")</f>
        <v>CURRENT</v>
      </c>
    </row>
    <row r="85" customFormat="false" ht="15" hidden="false" customHeight="false" outlineLevel="0" collapsed="false">
      <c r="A85" s="15" t="str">
        <f aca="false">Raw_Data!A85</f>
        <v>P0083</v>
      </c>
      <c r="B85" s="15" t="str">
        <f aca="false">Raw_Data!C85</f>
        <v>Singapore FX</v>
      </c>
      <c r="C85" s="11" t="str">
        <f aca="false">IFERROR(INDEX(Thresholds!$A$2:$A$5,MATCH(TRIM(Raw_Data!D85),Thresholds!$A$2:$A$5,0)),"UNMAPPED")</f>
        <v>FX Forward</v>
      </c>
      <c r="D85" s="16" t="n">
        <f aca="false">Raw_Data!G85</f>
        <v>1375951</v>
      </c>
      <c r="E85" s="17" t="n">
        <f aca="false">Raw_Data!H85</f>
        <v>0.98608</v>
      </c>
      <c r="F85" s="14" t="n">
        <f aca="false">IF(Raw_Data!I85="","",Raw_Data!I85)</f>
        <v>0.9875</v>
      </c>
      <c r="G85" s="18" t="n">
        <f aca="false">IF(F85="","",(E85-F85)/F85)</f>
        <v>-0.00143797468354439</v>
      </c>
      <c r="H85" s="19" t="n">
        <f aca="false">IFERROR(INDEX(Thresholds!$B$2:$B$5,MATCH(C85,Thresholds!$A$2:$A$5,0)),"")</f>
        <v>0.003</v>
      </c>
      <c r="I85" s="20" t="n">
        <f aca="false">IF(F85="","",D85*(E85-F85))</f>
        <v>-1953.85042000012</v>
      </c>
      <c r="J85" s="11" t="str">
        <f aca="false">IF(C85="UNMAPPED","UNMAPPED ASSET CLASS",IF(F85="","NO INDEPENDENT PRICE",IF(ABS(G85)&gt;H85,"BREACH","OK")))</f>
        <v>OK</v>
      </c>
      <c r="K85" s="11" t="str">
        <f aca="false">IF(COUNTIF(Raw_Data!$A$2:A85,Raw_Data!A85)&gt;1,"DUP","UNIQUE")</f>
        <v>UNIQUE</v>
      </c>
      <c r="L85" s="11" t="str">
        <f aca="false">IF(Raw_Data!B85&lt;&gt;Thresholds!$E$1,"STALE","CURRENT")</f>
        <v>CURRENT</v>
      </c>
    </row>
    <row r="86" customFormat="false" ht="15" hidden="false" customHeight="false" outlineLevel="0" collapsed="false">
      <c r="A86" s="15" t="str">
        <f aca="false">Raw_Data!A86</f>
        <v>P0084</v>
      </c>
      <c r="B86" s="15" t="str">
        <f aca="false">Raw_Data!C86</f>
        <v>Zurich Equities</v>
      </c>
      <c r="C86" s="11" t="str">
        <f aca="false">IFERROR(INDEX(Thresholds!$A$2:$A$5,MATCH(TRIM(Raw_Data!D86),Thresholds!$A$2:$A$5,0)),"UNMAPPED")</f>
        <v>Equity</v>
      </c>
      <c r="D86" s="16" t="n">
        <f aca="false">Raw_Data!G86</f>
        <v>35527</v>
      </c>
      <c r="E86" s="17" t="n">
        <f aca="false">Raw_Data!H86</f>
        <v>34.16</v>
      </c>
      <c r="F86" s="14" t="n">
        <f aca="false">IF(Raw_Data!I86="","",Raw_Data!I86)</f>
        <v>34.21</v>
      </c>
      <c r="G86" s="18" t="n">
        <f aca="false">IF(F86="","",(E86-F86)/F86)</f>
        <v>-0.00146156094709162</v>
      </c>
      <c r="H86" s="19" t="n">
        <f aca="false">IFERROR(INDEX(Thresholds!$B$2:$B$5,MATCH(C86,Thresholds!$A$2:$A$5,0)),"")</f>
        <v>0.01</v>
      </c>
      <c r="I86" s="20" t="n">
        <f aca="false">IF(F86="","",D86*(E86-F86))</f>
        <v>-1776.35000000015</v>
      </c>
      <c r="J86" s="11" t="str">
        <f aca="false">IF(C86="UNMAPPED","UNMAPPED ASSET CLASS",IF(F86="","NO INDEPENDENT PRICE",IF(ABS(G86)&gt;H86,"BREACH","OK")))</f>
        <v>OK</v>
      </c>
      <c r="K86" s="11" t="str">
        <f aca="false">IF(COUNTIF(Raw_Data!$A$2:A86,Raw_Data!A86)&gt;1,"DUP","UNIQUE")</f>
        <v>UNIQUE</v>
      </c>
      <c r="L86" s="11" t="str">
        <f aca="false">IF(Raw_Data!B86&lt;&gt;Thresholds!$E$1,"STALE","CURRENT")</f>
        <v>CURRENT</v>
      </c>
    </row>
    <row r="87" customFormat="false" ht="15" hidden="false" customHeight="false" outlineLevel="0" collapsed="false">
      <c r="A87" s="15" t="str">
        <f aca="false">Raw_Data!A87</f>
        <v>P0085</v>
      </c>
      <c r="B87" s="15" t="str">
        <f aca="false">Raw_Data!C87</f>
        <v>London Rates</v>
      </c>
      <c r="C87" s="11" t="str">
        <f aca="false">IFERROR(INDEX(Thresholds!$A$2:$A$5,MATCH(TRIM(Raw_Data!D87),Thresholds!$A$2:$A$5,0)),"UNMAPPED")</f>
        <v>Government Bond</v>
      </c>
      <c r="D87" s="16" t="n">
        <f aca="false">Raw_Data!G87</f>
        <v>18096</v>
      </c>
      <c r="E87" s="17" t="n">
        <f aca="false">Raw_Data!H87</f>
        <v>99.484</v>
      </c>
      <c r="F87" s="14" t="n">
        <f aca="false">IF(Raw_Data!I87="","",Raw_Data!I87)</f>
        <v>99.518</v>
      </c>
      <c r="G87" s="18" t="n">
        <f aca="false">IF(F87="","",(E87-F87)/F87)</f>
        <v>-0.00034164673727372</v>
      </c>
      <c r="H87" s="19" t="n">
        <f aca="false">IFERROR(INDEX(Thresholds!$B$2:$B$5,MATCH(C87,Thresholds!$A$2:$A$5,0)),"")</f>
        <v>0.0025</v>
      </c>
      <c r="I87" s="20" t="n">
        <f aca="false">IF(F87="","",D87*(E87-F87))</f>
        <v>-615.264000000109</v>
      </c>
      <c r="J87" s="11" t="str">
        <f aca="false">IF(C87="UNMAPPED","UNMAPPED ASSET CLASS",IF(F87="","NO INDEPENDENT PRICE",IF(ABS(G87)&gt;H87,"BREACH","OK")))</f>
        <v>OK</v>
      </c>
      <c r="K87" s="11" t="str">
        <f aca="false">IF(COUNTIF(Raw_Data!$A$2:A87,Raw_Data!A87)&gt;1,"DUP","UNIQUE")</f>
        <v>UNIQUE</v>
      </c>
      <c r="L87" s="11" t="str">
        <f aca="false">IF(Raw_Data!B87&lt;&gt;Thresholds!$E$1,"STALE","CURRENT")</f>
        <v>CURRENT</v>
      </c>
    </row>
    <row r="88" customFormat="false" ht="15" hidden="false" customHeight="false" outlineLevel="0" collapsed="false">
      <c r="A88" s="15" t="str">
        <f aca="false">Raw_Data!A88</f>
        <v>P0086</v>
      </c>
      <c r="B88" s="15" t="str">
        <f aca="false">Raw_Data!C88</f>
        <v>New York Rates</v>
      </c>
      <c r="C88" s="11" t="str">
        <f aca="false">IFERROR(INDEX(Thresholds!$A$2:$A$5,MATCH(TRIM(Raw_Data!D88),Thresholds!$A$2:$A$5,0)),"UNMAPPED")</f>
        <v>Government Bond</v>
      </c>
      <c r="D88" s="16" t="n">
        <f aca="false">Raw_Data!G88</f>
        <v>14637</v>
      </c>
      <c r="E88" s="17" t="n">
        <f aca="false">Raw_Data!H88</f>
        <v>96.681</v>
      </c>
      <c r="F88" s="14" t="n">
        <f aca="false">IF(Raw_Data!I88="","",Raw_Data!I88)</f>
        <v>96.68</v>
      </c>
      <c r="G88" s="18" t="n">
        <f aca="false">IF(F88="","",(E88-F88)/F88)</f>
        <v>1.03434009101217E-005</v>
      </c>
      <c r="H88" s="19" t="n">
        <f aca="false">IFERROR(INDEX(Thresholds!$B$2:$B$5,MATCH(C88,Thresholds!$A$2:$A$5,0)),"")</f>
        <v>0.0025</v>
      </c>
      <c r="I88" s="20" t="n">
        <f aca="false">IF(F88="","",D88*(E88-F88))</f>
        <v>14.6369999998619</v>
      </c>
      <c r="J88" s="11" t="str">
        <f aca="false">IF(C88="UNMAPPED","UNMAPPED ASSET CLASS",IF(F88="","NO INDEPENDENT PRICE",IF(ABS(G88)&gt;H88,"BREACH","OK")))</f>
        <v>OK</v>
      </c>
      <c r="K88" s="11" t="str">
        <f aca="false">IF(COUNTIF(Raw_Data!$A$2:A88,Raw_Data!A88)&gt;1,"DUP","UNIQUE")</f>
        <v>UNIQUE</v>
      </c>
      <c r="L88" s="11" t="str">
        <f aca="false">IF(Raw_Data!B88&lt;&gt;Thresholds!$E$1,"STALE","CURRENT")</f>
        <v>CURRENT</v>
      </c>
    </row>
    <row r="89" customFormat="false" ht="15" hidden="false" customHeight="false" outlineLevel="0" collapsed="false">
      <c r="A89" s="15" t="str">
        <f aca="false">Raw_Data!A89</f>
        <v>P0087</v>
      </c>
      <c r="B89" s="15" t="str">
        <f aca="false">Raw_Data!C89</f>
        <v>Singapore FX</v>
      </c>
      <c r="C89" s="11" t="str">
        <f aca="false">IFERROR(INDEX(Thresholds!$A$2:$A$5,MATCH(TRIM(Raw_Data!D89),Thresholds!$A$2:$A$5,0)),"UNMAPPED")</f>
        <v>FX Forward</v>
      </c>
      <c r="D89" s="16" t="n">
        <f aca="false">Raw_Data!G89</f>
        <v>485800</v>
      </c>
      <c r="E89" s="17" t="n">
        <f aca="false">Raw_Data!H89</f>
        <v>1.50342</v>
      </c>
      <c r="F89" s="14" t="n">
        <f aca="false">IF(Raw_Data!I89="","",Raw_Data!I89)</f>
        <v>1.50442</v>
      </c>
      <c r="G89" s="18" t="n">
        <f aca="false">IF(F89="","",(E89-F89)/F89)</f>
        <v>-0.000664707993778408</v>
      </c>
      <c r="H89" s="19" t="n">
        <f aca="false">IFERROR(INDEX(Thresholds!$B$2:$B$5,MATCH(C89,Thresholds!$A$2:$A$5,0)),"")</f>
        <v>0.003</v>
      </c>
      <c r="I89" s="20" t="n">
        <f aca="false">IF(F89="","",D89*(E89-F89))</f>
        <v>-485.800000000054</v>
      </c>
      <c r="J89" s="11" t="str">
        <f aca="false">IF(C89="UNMAPPED","UNMAPPED ASSET CLASS",IF(F89="","NO INDEPENDENT PRICE",IF(ABS(G89)&gt;H89,"BREACH","OK")))</f>
        <v>OK</v>
      </c>
      <c r="K89" s="11" t="str">
        <f aca="false">IF(COUNTIF(Raw_Data!$A$2:A89,Raw_Data!A89)&gt;1,"DUP","UNIQUE")</f>
        <v>UNIQUE</v>
      </c>
      <c r="L89" s="11" t="str">
        <f aca="false">IF(Raw_Data!B89&lt;&gt;Thresholds!$E$1,"STALE","CURRENT")</f>
        <v>CURRENT</v>
      </c>
    </row>
    <row r="90" customFormat="false" ht="15" hidden="false" customHeight="false" outlineLevel="0" collapsed="false">
      <c r="A90" s="15" t="str">
        <f aca="false">Raw_Data!A90</f>
        <v>P0088</v>
      </c>
      <c r="B90" s="15" t="str">
        <f aca="false">Raw_Data!C90</f>
        <v>London Credit</v>
      </c>
      <c r="C90" s="11" t="str">
        <f aca="false">IFERROR(INDEX(Thresholds!$A$2:$A$5,MATCH(TRIM(Raw_Data!D90),Thresholds!$A$2:$A$5,0)),"UNMAPPED")</f>
        <v>Corporate Bond</v>
      </c>
      <c r="D90" s="16" t="n">
        <f aca="false">Raw_Data!G90</f>
        <v>15239</v>
      </c>
      <c r="E90" s="17" t="n">
        <f aca="false">Raw_Data!H90</f>
        <v>101.289</v>
      </c>
      <c r="F90" s="14" t="n">
        <f aca="false">IF(Raw_Data!I90="","",Raw_Data!I90)</f>
        <v>101.219</v>
      </c>
      <c r="G90" s="18" t="n">
        <f aca="false">IF(F90="","",(E90-F90)/F90)</f>
        <v>0.000691569764569966</v>
      </c>
      <c r="H90" s="19" t="n">
        <f aca="false">IFERROR(INDEX(Thresholds!$B$2:$B$5,MATCH(C90,Thresholds!$A$2:$A$5,0)),"")</f>
        <v>0.005</v>
      </c>
      <c r="I90" s="20" t="n">
        <f aca="false">IF(F90="","",D90*(E90-F90))</f>
        <v>1066.73000000011</v>
      </c>
      <c r="J90" s="11" t="str">
        <f aca="false">IF(C90="UNMAPPED","UNMAPPED ASSET CLASS",IF(F90="","NO INDEPENDENT PRICE",IF(ABS(G90)&gt;H90,"BREACH","OK")))</f>
        <v>OK</v>
      </c>
      <c r="K90" s="11" t="str">
        <f aca="false">IF(COUNTIF(Raw_Data!$A$2:A90,Raw_Data!A90)&gt;1,"DUP","UNIQUE")</f>
        <v>UNIQUE</v>
      </c>
      <c r="L90" s="11" t="str">
        <f aca="false">IF(Raw_Data!B90&lt;&gt;Thresholds!$E$1,"STALE","CURRENT")</f>
        <v>CURRENT</v>
      </c>
    </row>
    <row r="91" customFormat="false" ht="15" hidden="false" customHeight="false" outlineLevel="0" collapsed="false">
      <c r="A91" s="15" t="str">
        <f aca="false">Raw_Data!A91</f>
        <v>P0089</v>
      </c>
      <c r="B91" s="15" t="str">
        <f aca="false">Raw_Data!C91</f>
        <v>Zurich Equities</v>
      </c>
      <c r="C91" s="11" t="str">
        <f aca="false">IFERROR(INDEX(Thresholds!$A$2:$A$5,MATCH(TRIM(Raw_Data!D91),Thresholds!$A$2:$A$5,0)),"UNMAPPED")</f>
        <v>Equity</v>
      </c>
      <c r="D91" s="16" t="n">
        <f aca="false">Raw_Data!G91</f>
        <v>15347</v>
      </c>
      <c r="E91" s="17" t="n">
        <f aca="false">Raw_Data!H91</f>
        <v>185.34</v>
      </c>
      <c r="F91" s="14" t="n">
        <f aca="false">IF(Raw_Data!I91="","",Raw_Data!I91)</f>
        <v>184.94</v>
      </c>
      <c r="G91" s="18" t="n">
        <f aca="false">IF(F91="","",(E91-F91)/F91)</f>
        <v>0.00216286363144807</v>
      </c>
      <c r="H91" s="19" t="n">
        <f aca="false">IFERROR(INDEX(Thresholds!$B$2:$B$5,MATCH(C91,Thresholds!$A$2:$A$5,0)),"")</f>
        <v>0.01</v>
      </c>
      <c r="I91" s="20" t="n">
        <f aca="false">IF(F91="","",D91*(E91-F91))</f>
        <v>6138.80000000009</v>
      </c>
      <c r="J91" s="11" t="str">
        <f aca="false">IF(C91="UNMAPPED","UNMAPPED ASSET CLASS",IF(F91="","NO INDEPENDENT PRICE",IF(ABS(G91)&gt;H91,"BREACH","OK")))</f>
        <v>OK</v>
      </c>
      <c r="K91" s="11" t="str">
        <f aca="false">IF(COUNTIF(Raw_Data!$A$2:A91,Raw_Data!A91)&gt;1,"DUP","UNIQUE")</f>
        <v>UNIQUE</v>
      </c>
      <c r="L91" s="11" t="str">
        <f aca="false">IF(Raw_Data!B91&lt;&gt;Thresholds!$E$1,"STALE","CURRENT")</f>
        <v>CURRENT</v>
      </c>
    </row>
    <row r="92" customFormat="false" ht="15" hidden="false" customHeight="false" outlineLevel="0" collapsed="false">
      <c r="A92" s="15" t="str">
        <f aca="false">Raw_Data!A92</f>
        <v>P0090</v>
      </c>
      <c r="B92" s="15" t="str">
        <f aca="false">Raw_Data!C92</f>
        <v>Zurich Equities</v>
      </c>
      <c r="C92" s="11" t="str">
        <f aca="false">IFERROR(INDEX(Thresholds!$A$2:$A$5,MATCH(TRIM(Raw_Data!D92),Thresholds!$A$2:$A$5,0)),"UNMAPPED")</f>
        <v>Equity</v>
      </c>
      <c r="D92" s="16" t="n">
        <f aca="false">Raw_Data!G92</f>
        <v>38655</v>
      </c>
      <c r="E92" s="17" t="n">
        <f aca="false">Raw_Data!H92</f>
        <v>114.66</v>
      </c>
      <c r="F92" s="14" t="n">
        <f aca="false">IF(Raw_Data!I92="","",Raw_Data!I92)</f>
        <v>114.69</v>
      </c>
      <c r="G92" s="18" t="n">
        <f aca="false">IF(F92="","",(E92-F92)/F92)</f>
        <v>-0.000261574679571027</v>
      </c>
      <c r="H92" s="19" t="n">
        <f aca="false">IFERROR(INDEX(Thresholds!$B$2:$B$5,MATCH(C92,Thresholds!$A$2:$A$5,0)),"")</f>
        <v>0.01</v>
      </c>
      <c r="I92" s="20" t="n">
        <f aca="false">IF(F92="","",D92*(E92-F92))</f>
        <v>-1159.65000000004</v>
      </c>
      <c r="J92" s="11" t="str">
        <f aca="false">IF(C92="UNMAPPED","UNMAPPED ASSET CLASS",IF(F92="","NO INDEPENDENT PRICE",IF(ABS(G92)&gt;H92,"BREACH","OK")))</f>
        <v>OK</v>
      </c>
      <c r="K92" s="11" t="str">
        <f aca="false">IF(COUNTIF(Raw_Data!$A$2:A92,Raw_Data!A92)&gt;1,"DUP","UNIQUE")</f>
        <v>UNIQUE</v>
      </c>
      <c r="L92" s="11" t="str">
        <f aca="false">IF(Raw_Data!B92&lt;&gt;Thresholds!$E$1,"STALE","CURRENT")</f>
        <v>CURRENT</v>
      </c>
    </row>
    <row r="93" customFormat="false" ht="15" hidden="false" customHeight="false" outlineLevel="0" collapsed="false">
      <c r="A93" s="15" t="str">
        <f aca="false">Raw_Data!A93</f>
        <v>P0091</v>
      </c>
      <c r="B93" s="15" t="str">
        <f aca="false">Raw_Data!C93</f>
        <v>London Credit</v>
      </c>
      <c r="C93" s="11" t="str">
        <f aca="false">IFERROR(INDEX(Thresholds!$A$2:$A$5,MATCH(TRIM(Raw_Data!D93),Thresholds!$A$2:$A$5,0)),"UNMAPPED")</f>
        <v>Corporate Bond</v>
      </c>
      <c r="D93" s="16" t="n">
        <f aca="false">Raw_Data!G93</f>
        <v>15923</v>
      </c>
      <c r="E93" s="17" t="n">
        <f aca="false">Raw_Data!H93</f>
        <v>107.743</v>
      </c>
      <c r="F93" s="14" t="n">
        <f aca="false">IF(Raw_Data!I93="","",Raw_Data!I93)</f>
        <v>106.166</v>
      </c>
      <c r="G93" s="18" t="n">
        <f aca="false">IF(F93="","",(E93-F93)/F93)</f>
        <v>0.0148540964150481</v>
      </c>
      <c r="H93" s="19" t="n">
        <f aca="false">IFERROR(INDEX(Thresholds!$B$2:$B$5,MATCH(C93,Thresholds!$A$2:$A$5,0)),"")</f>
        <v>0.005</v>
      </c>
      <c r="I93" s="20" t="n">
        <f aca="false">IF(F93="","",D93*(E93-F93))</f>
        <v>25110.571</v>
      </c>
      <c r="J93" s="11" t="str">
        <f aca="false">IF(C93="UNMAPPED","UNMAPPED ASSET CLASS",IF(F93="","NO INDEPENDENT PRICE",IF(ABS(G93)&gt;H93,"BREACH","OK")))</f>
        <v>BREACH</v>
      </c>
      <c r="K93" s="11" t="str">
        <f aca="false">IF(COUNTIF(Raw_Data!$A$2:A93,Raw_Data!A93)&gt;1,"DUP","UNIQUE")</f>
        <v>UNIQUE</v>
      </c>
      <c r="L93" s="11" t="str">
        <f aca="false">IF(Raw_Data!B93&lt;&gt;Thresholds!$E$1,"STALE","CURRENT")</f>
        <v>CURRENT</v>
      </c>
    </row>
    <row r="94" customFormat="false" ht="15" hidden="false" customHeight="false" outlineLevel="0" collapsed="false">
      <c r="A94" s="15" t="str">
        <f aca="false">Raw_Data!A94</f>
        <v>P0092</v>
      </c>
      <c r="B94" s="15" t="str">
        <f aca="false">Raw_Data!C94</f>
        <v>Singapore Equities</v>
      </c>
      <c r="C94" s="11" t="str">
        <f aca="false">IFERROR(INDEX(Thresholds!$A$2:$A$5,MATCH(TRIM(Raw_Data!D94),Thresholds!$A$2:$A$5,0)),"UNMAPPED")</f>
        <v>Equity</v>
      </c>
      <c r="D94" s="16" t="n">
        <f aca="false">Raw_Data!G94</f>
        <v>7073</v>
      </c>
      <c r="E94" s="17" t="n">
        <f aca="false">Raw_Data!H94</f>
        <v>292.13</v>
      </c>
      <c r="F94" s="14" t="n">
        <f aca="false">IF(Raw_Data!I94="","",Raw_Data!I94)</f>
        <v>292</v>
      </c>
      <c r="G94" s="18" t="n">
        <f aca="false">IF(F94="","",(E94-F94)/F94)</f>
        <v>0.000445205479452039</v>
      </c>
      <c r="H94" s="19" t="n">
        <f aca="false">IFERROR(INDEX(Thresholds!$B$2:$B$5,MATCH(C94,Thresholds!$A$2:$A$5,0)),"")</f>
        <v>0.01</v>
      </c>
      <c r="I94" s="20" t="n">
        <f aca="false">IF(F94="","",D94*(E94-F94))</f>
        <v>919.489999999968</v>
      </c>
      <c r="J94" s="11" t="str">
        <f aca="false">IF(C94="UNMAPPED","UNMAPPED ASSET CLASS",IF(F94="","NO INDEPENDENT PRICE",IF(ABS(G94)&gt;H94,"BREACH","OK")))</f>
        <v>OK</v>
      </c>
      <c r="K94" s="11" t="str">
        <f aca="false">IF(COUNTIF(Raw_Data!$A$2:A94,Raw_Data!A94)&gt;1,"DUP","UNIQUE")</f>
        <v>UNIQUE</v>
      </c>
      <c r="L94" s="11" t="str">
        <f aca="false">IF(Raw_Data!B94&lt;&gt;Thresholds!$E$1,"STALE","CURRENT")</f>
        <v>CURRENT</v>
      </c>
    </row>
    <row r="95" customFormat="false" ht="15" hidden="false" customHeight="false" outlineLevel="0" collapsed="false">
      <c r="A95" s="15" t="str">
        <f aca="false">Raw_Data!A95</f>
        <v>P0093</v>
      </c>
      <c r="B95" s="15" t="str">
        <f aca="false">Raw_Data!C95</f>
        <v>Zurich Equities</v>
      </c>
      <c r="C95" s="11" t="str">
        <f aca="false">IFERROR(INDEX(Thresholds!$A$2:$A$5,MATCH(TRIM(Raw_Data!D95),Thresholds!$A$2:$A$5,0)),"UNMAPPED")</f>
        <v>Equity</v>
      </c>
      <c r="D95" s="16" t="n">
        <f aca="false">Raw_Data!G95</f>
        <v>37523</v>
      </c>
      <c r="E95" s="17" t="n">
        <f aca="false">Raw_Data!H95</f>
        <v>222.54</v>
      </c>
      <c r="F95" s="14" t="n">
        <f aca="false">IF(Raw_Data!I95="","",Raw_Data!I95)</f>
        <v>220.9</v>
      </c>
      <c r="G95" s="18" t="n">
        <f aca="false">IF(F95="","",(E95-F95)/F95)</f>
        <v>0.00742417383431411</v>
      </c>
      <c r="H95" s="19" t="n">
        <f aca="false">IFERROR(INDEX(Thresholds!$B$2:$B$5,MATCH(C95,Thresholds!$A$2:$A$5,0)),"")</f>
        <v>0.01</v>
      </c>
      <c r="I95" s="20" t="n">
        <f aca="false">IF(F95="","",D95*(E95-F95))</f>
        <v>61537.7199999995</v>
      </c>
      <c r="J95" s="11" t="str">
        <f aca="false">IF(C95="UNMAPPED","UNMAPPED ASSET CLASS",IF(F95="","NO INDEPENDENT PRICE",IF(ABS(G95)&gt;H95,"BREACH","OK")))</f>
        <v>OK</v>
      </c>
      <c r="K95" s="11" t="str">
        <f aca="false">IF(COUNTIF(Raw_Data!$A$2:A95,Raw_Data!A95)&gt;1,"DUP","UNIQUE")</f>
        <v>UNIQUE</v>
      </c>
      <c r="L95" s="11" t="str">
        <f aca="false">IF(Raw_Data!B95&lt;&gt;Thresholds!$E$1,"STALE","CURRENT")</f>
        <v>CURRENT</v>
      </c>
    </row>
    <row r="96" customFormat="false" ht="15" hidden="false" customHeight="false" outlineLevel="0" collapsed="false">
      <c r="A96" s="15" t="str">
        <f aca="false">Raw_Data!A96</f>
        <v>P0094</v>
      </c>
      <c r="B96" s="15" t="str">
        <f aca="false">Raw_Data!C96</f>
        <v>Zurich Equities</v>
      </c>
      <c r="C96" s="11" t="str">
        <f aca="false">IFERROR(INDEX(Thresholds!$A$2:$A$5,MATCH(TRIM(Raw_Data!D96),Thresholds!$A$2:$A$5,0)),"UNMAPPED")</f>
        <v>Equity</v>
      </c>
      <c r="D96" s="16" t="n">
        <f aca="false">Raw_Data!G96</f>
        <v>35841</v>
      </c>
      <c r="E96" s="17" t="n">
        <f aca="false">Raw_Data!H96</f>
        <v>209.48</v>
      </c>
      <c r="F96" s="14" t="n">
        <f aca="false">IF(Raw_Data!I96="","",Raw_Data!I96)</f>
        <v>208.75</v>
      </c>
      <c r="G96" s="18" t="n">
        <f aca="false">IF(F96="","",(E96-F96)/F96)</f>
        <v>0.0034970059880239</v>
      </c>
      <c r="H96" s="19" t="n">
        <f aca="false">IFERROR(INDEX(Thresholds!$B$2:$B$5,MATCH(C96,Thresholds!$A$2:$A$5,0)),"")</f>
        <v>0.01</v>
      </c>
      <c r="I96" s="20" t="n">
        <f aca="false">IF(F96="","",D96*(E96-F96))</f>
        <v>26163.9299999996</v>
      </c>
      <c r="J96" s="11" t="str">
        <f aca="false">IF(C96="UNMAPPED","UNMAPPED ASSET CLASS",IF(F96="","NO INDEPENDENT PRICE",IF(ABS(G96)&gt;H96,"BREACH","OK")))</f>
        <v>OK</v>
      </c>
      <c r="K96" s="11" t="str">
        <f aca="false">IF(COUNTIF(Raw_Data!$A$2:A96,Raw_Data!A96)&gt;1,"DUP","UNIQUE")</f>
        <v>UNIQUE</v>
      </c>
      <c r="L96" s="11" t="str">
        <f aca="false">IF(Raw_Data!B96&lt;&gt;Thresholds!$E$1,"STALE","CURRENT")</f>
        <v>CURRENT</v>
      </c>
    </row>
    <row r="97" customFormat="false" ht="15" hidden="false" customHeight="false" outlineLevel="0" collapsed="false">
      <c r="A97" s="15" t="str">
        <f aca="false">Raw_Data!A97</f>
        <v>P0095</v>
      </c>
      <c r="B97" s="15" t="str">
        <f aca="false">Raw_Data!C97</f>
        <v>Zurich FX</v>
      </c>
      <c r="C97" s="11" t="str">
        <f aca="false">IFERROR(INDEX(Thresholds!$A$2:$A$5,MATCH(TRIM(Raw_Data!D97),Thresholds!$A$2:$A$5,0)),"UNMAPPED")</f>
        <v>FX Forward</v>
      </c>
      <c r="D97" s="16" t="n">
        <f aca="false">Raw_Data!G97</f>
        <v>3287749</v>
      </c>
      <c r="E97" s="17" t="n">
        <f aca="false">Raw_Data!H97</f>
        <v>1.45177</v>
      </c>
      <c r="F97" s="14" t="n">
        <f aca="false">IF(Raw_Data!I97="","",Raw_Data!I97)</f>
        <v>1.44919</v>
      </c>
      <c r="G97" s="18" t="n">
        <f aca="false">IF(F97="","",(E97-F97)/F97)</f>
        <v>0.00178030485995627</v>
      </c>
      <c r="H97" s="19" t="n">
        <f aca="false">IFERROR(INDEX(Thresholds!$B$2:$B$5,MATCH(C97,Thresholds!$A$2:$A$5,0)),"")</f>
        <v>0.003</v>
      </c>
      <c r="I97" s="20" t="n">
        <f aca="false">IF(F97="","",D97*(E97-F97))</f>
        <v>8482.39242000009</v>
      </c>
      <c r="J97" s="11" t="str">
        <f aca="false">IF(C97="UNMAPPED","UNMAPPED ASSET CLASS",IF(F97="","NO INDEPENDENT PRICE",IF(ABS(G97)&gt;H97,"BREACH","OK")))</f>
        <v>OK</v>
      </c>
      <c r="K97" s="11" t="str">
        <f aca="false">IF(COUNTIF(Raw_Data!$A$2:A97,Raw_Data!A97)&gt;1,"DUP","UNIQUE")</f>
        <v>UNIQUE</v>
      </c>
      <c r="L97" s="11" t="str">
        <f aca="false">IF(Raw_Data!B97&lt;&gt;Thresholds!$E$1,"STALE","CURRENT")</f>
        <v>CURRENT</v>
      </c>
    </row>
    <row r="98" customFormat="false" ht="15" hidden="false" customHeight="false" outlineLevel="0" collapsed="false">
      <c r="A98" s="15" t="str">
        <f aca="false">Raw_Data!A98</f>
        <v>P0096</v>
      </c>
      <c r="B98" s="15" t="str">
        <f aca="false">Raw_Data!C98</f>
        <v>New York Rates</v>
      </c>
      <c r="C98" s="11" t="str">
        <f aca="false">IFERROR(INDEX(Thresholds!$A$2:$A$5,MATCH(TRIM(Raw_Data!D98),Thresholds!$A$2:$A$5,0)),"UNMAPPED")</f>
        <v>Government Bond</v>
      </c>
      <c r="D98" s="16" t="n">
        <f aca="false">Raw_Data!G98</f>
        <v>17112</v>
      </c>
      <c r="E98" s="17" t="n">
        <f aca="false">Raw_Data!H98</f>
        <v>97.452</v>
      </c>
      <c r="F98" s="14" t="n">
        <f aca="false">IF(Raw_Data!I98="","",Raw_Data!I98)</f>
        <v>97.571</v>
      </c>
      <c r="G98" s="18" t="n">
        <f aca="false">IF(F98="","",(E98-F98)/F98)</f>
        <v>-0.00121962468356376</v>
      </c>
      <c r="H98" s="19" t="n">
        <f aca="false">IFERROR(INDEX(Thresholds!$B$2:$B$5,MATCH(C98,Thresholds!$A$2:$A$5,0)),"")</f>
        <v>0.0025</v>
      </c>
      <c r="I98" s="20" t="n">
        <f aca="false">IF(F98="","",D98*(E98-F98))</f>
        <v>-2036.328</v>
      </c>
      <c r="J98" s="11" t="str">
        <f aca="false">IF(C98="UNMAPPED","UNMAPPED ASSET CLASS",IF(F98="","NO INDEPENDENT PRICE",IF(ABS(G98)&gt;H98,"BREACH","OK")))</f>
        <v>OK</v>
      </c>
      <c r="K98" s="11" t="str">
        <f aca="false">IF(COUNTIF(Raw_Data!$A$2:A98,Raw_Data!A98)&gt;1,"DUP","UNIQUE")</f>
        <v>UNIQUE</v>
      </c>
      <c r="L98" s="11" t="str">
        <f aca="false">IF(Raw_Data!B98&lt;&gt;Thresholds!$E$1,"STALE","CURRENT")</f>
        <v>CURRENT</v>
      </c>
    </row>
    <row r="99" customFormat="false" ht="15" hidden="false" customHeight="false" outlineLevel="0" collapsed="false">
      <c r="A99" s="15" t="str">
        <f aca="false">Raw_Data!A99</f>
        <v>P0097</v>
      </c>
      <c r="B99" s="15" t="str">
        <f aca="false">Raw_Data!C99</f>
        <v>London Credit</v>
      </c>
      <c r="C99" s="11" t="str">
        <f aca="false">IFERROR(INDEX(Thresholds!$A$2:$A$5,MATCH(TRIM(Raw_Data!D99),Thresholds!$A$2:$A$5,0)),"UNMAPPED")</f>
        <v>Corporate Bond</v>
      </c>
      <c r="D99" s="16" t="n">
        <f aca="false">Raw_Data!G99</f>
        <v>5176</v>
      </c>
      <c r="E99" s="17" t="n">
        <f aca="false">Raw_Data!H99</f>
        <v>105.354</v>
      </c>
      <c r="F99" s="14" t="n">
        <f aca="false">IF(Raw_Data!I99="","",Raw_Data!I99)</f>
        <v>105.484</v>
      </c>
      <c r="G99" s="18" t="n">
        <f aca="false">IF(F99="","",(E99-F99)/F99)</f>
        <v>-0.00123241439460009</v>
      </c>
      <c r="H99" s="19" t="n">
        <f aca="false">IFERROR(INDEX(Thresholds!$B$2:$B$5,MATCH(C99,Thresholds!$A$2:$A$5,0)),"")</f>
        <v>0.005</v>
      </c>
      <c r="I99" s="20" t="n">
        <f aca="false">IF(F99="","",D99*(E99-F99))</f>
        <v>-672.879999999977</v>
      </c>
      <c r="J99" s="11" t="str">
        <f aca="false">IF(C99="UNMAPPED","UNMAPPED ASSET CLASS",IF(F99="","NO INDEPENDENT PRICE",IF(ABS(G99)&gt;H99,"BREACH","OK")))</f>
        <v>OK</v>
      </c>
      <c r="K99" s="11" t="str">
        <f aca="false">IF(COUNTIF(Raw_Data!$A$2:A99,Raw_Data!A99)&gt;1,"DUP","UNIQUE")</f>
        <v>UNIQUE</v>
      </c>
      <c r="L99" s="11" t="str">
        <f aca="false">IF(Raw_Data!B99&lt;&gt;Thresholds!$E$1,"STALE","CURRENT")</f>
        <v>CURRENT</v>
      </c>
    </row>
    <row r="100" customFormat="false" ht="15" hidden="false" customHeight="false" outlineLevel="0" collapsed="false">
      <c r="A100" s="15" t="str">
        <f aca="false">Raw_Data!A100</f>
        <v>P0098</v>
      </c>
      <c r="B100" s="15" t="str">
        <f aca="false">Raw_Data!C100</f>
        <v>Singapore Equities</v>
      </c>
      <c r="C100" s="11" t="str">
        <f aca="false">IFERROR(INDEX(Thresholds!$A$2:$A$5,MATCH(TRIM(Raw_Data!D100),Thresholds!$A$2:$A$5,0)),"UNMAPPED")</f>
        <v>Equity</v>
      </c>
      <c r="D100" s="16" t="n">
        <f aca="false">Raw_Data!G100</f>
        <v>41713</v>
      </c>
      <c r="E100" s="17" t="n">
        <f aca="false">Raw_Data!H100</f>
        <v>216.51</v>
      </c>
      <c r="F100" s="14" t="n">
        <f aca="false">IF(Raw_Data!I100="","",Raw_Data!I100)</f>
        <v>216.68</v>
      </c>
      <c r="G100" s="18" t="n">
        <f aca="false">IF(F100="","",(E100-F100)/F100)</f>
        <v>-0.000784567103562931</v>
      </c>
      <c r="H100" s="19" t="n">
        <f aca="false">IFERROR(INDEX(Thresholds!$B$2:$B$5,MATCH(C100,Thresholds!$A$2:$A$5,0)),"")</f>
        <v>0.01</v>
      </c>
      <c r="I100" s="20" t="n">
        <f aca="false">IF(F100="","",D100*(E100-F100))</f>
        <v>-7091.21000000066</v>
      </c>
      <c r="J100" s="11" t="str">
        <f aca="false">IF(C100="UNMAPPED","UNMAPPED ASSET CLASS",IF(F100="","NO INDEPENDENT PRICE",IF(ABS(G100)&gt;H100,"BREACH","OK")))</f>
        <v>OK</v>
      </c>
      <c r="K100" s="11" t="str">
        <f aca="false">IF(COUNTIF(Raw_Data!$A$2:A100,Raw_Data!A100)&gt;1,"DUP","UNIQUE")</f>
        <v>UNIQUE</v>
      </c>
      <c r="L100" s="11" t="str">
        <f aca="false">IF(Raw_Data!B100&lt;&gt;Thresholds!$E$1,"STALE","CURRENT")</f>
        <v>CURRENT</v>
      </c>
    </row>
    <row r="101" customFormat="false" ht="15" hidden="false" customHeight="false" outlineLevel="0" collapsed="false">
      <c r="A101" s="15" t="str">
        <f aca="false">Raw_Data!A101</f>
        <v>P0099</v>
      </c>
      <c r="B101" s="15" t="str">
        <f aca="false">Raw_Data!C101</f>
        <v>Zurich Equities</v>
      </c>
      <c r="C101" s="11" t="str">
        <f aca="false">IFERROR(INDEX(Thresholds!$A$2:$A$5,MATCH(TRIM(Raw_Data!D101),Thresholds!$A$2:$A$5,0)),"UNMAPPED")</f>
        <v>Equity</v>
      </c>
      <c r="D101" s="16" t="n">
        <f aca="false">Raw_Data!G101</f>
        <v>28177</v>
      </c>
      <c r="E101" s="17" t="n">
        <f aca="false">Raw_Data!H101</f>
        <v>228.6</v>
      </c>
      <c r="F101" s="14" t="n">
        <f aca="false">IF(Raw_Data!I101="","",Raw_Data!I101)</f>
        <v>230.45</v>
      </c>
      <c r="G101" s="18" t="n">
        <f aca="false">IF(F101="","",(E101-F101)/F101)</f>
        <v>-0.00802777175092208</v>
      </c>
      <c r="H101" s="19" t="n">
        <f aca="false">IFERROR(INDEX(Thresholds!$B$2:$B$5,MATCH(C101,Thresholds!$A$2:$A$5,0)),"")</f>
        <v>0.01</v>
      </c>
      <c r="I101" s="20" t="n">
        <f aca="false">IF(F101="","",D101*(E101-F101))</f>
        <v>-52127.4499999998</v>
      </c>
      <c r="J101" s="11" t="str">
        <f aca="false">IF(C101="UNMAPPED","UNMAPPED ASSET CLASS",IF(F101="","NO INDEPENDENT PRICE",IF(ABS(G101)&gt;H101,"BREACH","OK")))</f>
        <v>OK</v>
      </c>
      <c r="K101" s="11" t="str">
        <f aca="false">IF(COUNTIF(Raw_Data!$A$2:A101,Raw_Data!A101)&gt;1,"DUP","UNIQUE")</f>
        <v>UNIQUE</v>
      </c>
      <c r="L101" s="11" t="str">
        <f aca="false">IF(Raw_Data!B101&lt;&gt;Thresholds!$E$1,"STALE","CURRENT")</f>
        <v>CURRENT</v>
      </c>
    </row>
    <row r="102" customFormat="false" ht="15" hidden="false" customHeight="false" outlineLevel="0" collapsed="false">
      <c r="A102" s="15" t="str">
        <f aca="false">Raw_Data!A102</f>
        <v>P0100</v>
      </c>
      <c r="B102" s="15" t="str">
        <f aca="false">Raw_Data!C102</f>
        <v>Zurich Equities</v>
      </c>
      <c r="C102" s="11" t="str">
        <f aca="false">IFERROR(INDEX(Thresholds!$A$2:$A$5,MATCH(TRIM(Raw_Data!D102),Thresholds!$A$2:$A$5,0)),"UNMAPPED")</f>
        <v>Equity</v>
      </c>
      <c r="D102" s="16" t="n">
        <f aca="false">Raw_Data!G102</f>
        <v>34857</v>
      </c>
      <c r="E102" s="17" t="n">
        <f aca="false">Raw_Data!H102</f>
        <v>62.79</v>
      </c>
      <c r="F102" s="14" t="n">
        <f aca="false">IF(Raw_Data!I102="","",Raw_Data!I102)</f>
        <v>62.76</v>
      </c>
      <c r="G102" s="18" t="n">
        <f aca="false">IF(F102="","",(E102-F102)/F102)</f>
        <v>0.000478011472275353</v>
      </c>
      <c r="H102" s="19" t="n">
        <f aca="false">IFERROR(INDEX(Thresholds!$B$2:$B$5,MATCH(C102,Thresholds!$A$2:$A$5,0)),"")</f>
        <v>0.01</v>
      </c>
      <c r="I102" s="20" t="n">
        <f aca="false">IF(F102="","",D102*(E102-F102))</f>
        <v>1045.71000000004</v>
      </c>
      <c r="J102" s="11" t="str">
        <f aca="false">IF(C102="UNMAPPED","UNMAPPED ASSET CLASS",IF(F102="","NO INDEPENDENT PRICE",IF(ABS(G102)&gt;H102,"BREACH","OK")))</f>
        <v>OK</v>
      </c>
      <c r="K102" s="11" t="str">
        <f aca="false">IF(COUNTIF(Raw_Data!$A$2:A102,Raw_Data!A102)&gt;1,"DUP","UNIQUE")</f>
        <v>UNIQUE</v>
      </c>
      <c r="L102" s="11" t="str">
        <f aca="false">IF(Raw_Data!B102&lt;&gt;Thresholds!$E$1,"STALE","CURRENT")</f>
        <v>CURRENT</v>
      </c>
    </row>
    <row r="103" customFormat="false" ht="15" hidden="false" customHeight="false" outlineLevel="0" collapsed="false">
      <c r="A103" s="15" t="str">
        <f aca="false">Raw_Data!A103</f>
        <v>P0101</v>
      </c>
      <c r="B103" s="15" t="str">
        <f aca="false">Raw_Data!C103</f>
        <v>Singapore FX</v>
      </c>
      <c r="C103" s="11" t="str">
        <f aca="false">IFERROR(INDEX(Thresholds!$A$2:$A$5,MATCH(TRIM(Raw_Data!D103),Thresholds!$A$2:$A$5,0)),"UNMAPPED")</f>
        <v>FX Forward</v>
      </c>
      <c r="D103" s="16" t="n">
        <f aca="false">Raw_Data!G103</f>
        <v>2323172</v>
      </c>
      <c r="E103" s="17" t="n">
        <f aca="false">Raw_Data!H103</f>
        <v>1.47093</v>
      </c>
      <c r="F103" s="14" t="n">
        <f aca="false">IF(Raw_Data!I103="","",Raw_Data!I103)</f>
        <v>1.47008</v>
      </c>
      <c r="G103" s="18" t="n">
        <f aca="false">IF(F103="","",(E103-F103)/F103)</f>
        <v>0.000578199825859829</v>
      </c>
      <c r="H103" s="19" t="n">
        <f aca="false">IFERROR(INDEX(Thresholds!$B$2:$B$5,MATCH(C103,Thresholds!$A$2:$A$5,0)),"")</f>
        <v>0.003</v>
      </c>
      <c r="I103" s="20" t="n">
        <f aca="false">IF(F103="","",D103*(E103-F103))</f>
        <v>1974.69620000004</v>
      </c>
      <c r="J103" s="11" t="str">
        <f aca="false">IF(C103="UNMAPPED","UNMAPPED ASSET CLASS",IF(F103="","NO INDEPENDENT PRICE",IF(ABS(G103)&gt;H103,"BREACH","OK")))</f>
        <v>OK</v>
      </c>
      <c r="K103" s="11" t="str">
        <f aca="false">IF(COUNTIF(Raw_Data!$A$2:A103,Raw_Data!A103)&gt;1,"DUP","UNIQUE")</f>
        <v>UNIQUE</v>
      </c>
      <c r="L103" s="11" t="str">
        <f aca="false">IF(Raw_Data!B103&lt;&gt;Thresholds!$E$1,"STALE","CURRENT")</f>
        <v>CURRENT</v>
      </c>
    </row>
    <row r="104" customFormat="false" ht="15" hidden="false" customHeight="false" outlineLevel="0" collapsed="false">
      <c r="A104" s="15" t="str">
        <f aca="false">Raw_Data!A104</f>
        <v>P0102</v>
      </c>
      <c r="B104" s="15" t="str">
        <f aca="false">Raw_Data!C104</f>
        <v>Zurich FX</v>
      </c>
      <c r="C104" s="11" t="str">
        <f aca="false">IFERROR(INDEX(Thresholds!$A$2:$A$5,MATCH(TRIM(Raw_Data!D104),Thresholds!$A$2:$A$5,0)),"UNMAPPED")</f>
        <v>FX Forward</v>
      </c>
      <c r="D104" s="16" t="n">
        <f aca="false">Raw_Data!G104</f>
        <v>4067612</v>
      </c>
      <c r="E104" s="17" t="n">
        <f aca="false">Raw_Data!H104</f>
        <v>0.91818</v>
      </c>
      <c r="F104" s="14" t="n">
        <f aca="false">IF(Raw_Data!I104="","",Raw_Data!I104)</f>
        <v>0.91683</v>
      </c>
      <c r="G104" s="18" t="n">
        <f aca="false">IF(F104="","",(E104-F104)/F104)</f>
        <v>0.00147246490625303</v>
      </c>
      <c r="H104" s="19" t="n">
        <f aca="false">IFERROR(INDEX(Thresholds!$B$2:$B$5,MATCH(C104,Thresholds!$A$2:$A$5,0)),"")</f>
        <v>0.003</v>
      </c>
      <c r="I104" s="20" t="n">
        <f aca="false">IF(F104="","",D104*(E104-F104))</f>
        <v>5491.27619999985</v>
      </c>
      <c r="J104" s="11" t="str">
        <f aca="false">IF(C104="UNMAPPED","UNMAPPED ASSET CLASS",IF(F104="","NO INDEPENDENT PRICE",IF(ABS(G104)&gt;H104,"BREACH","OK")))</f>
        <v>OK</v>
      </c>
      <c r="K104" s="11" t="str">
        <f aca="false">IF(COUNTIF(Raw_Data!$A$2:A104,Raw_Data!A104)&gt;1,"DUP","UNIQUE")</f>
        <v>UNIQUE</v>
      </c>
      <c r="L104" s="11" t="str">
        <f aca="false">IF(Raw_Data!B104&lt;&gt;Thresholds!$E$1,"STALE","CURRENT")</f>
        <v>CURRENT</v>
      </c>
    </row>
    <row r="105" customFormat="false" ht="15" hidden="false" customHeight="false" outlineLevel="0" collapsed="false">
      <c r="A105" s="15" t="str">
        <f aca="false">Raw_Data!A105</f>
        <v>P0103</v>
      </c>
      <c r="B105" s="15" t="str">
        <f aca="false">Raw_Data!C105</f>
        <v>New York Rates</v>
      </c>
      <c r="C105" s="11" t="str">
        <f aca="false">IFERROR(INDEX(Thresholds!$A$2:$A$5,MATCH(TRIM(Raw_Data!D105),Thresholds!$A$2:$A$5,0)),"UNMAPPED")</f>
        <v>Government Bond</v>
      </c>
      <c r="D105" s="16" t="n">
        <f aca="false">Raw_Data!G105</f>
        <v>16064</v>
      </c>
      <c r="E105" s="17" t="n">
        <f aca="false">Raw_Data!H105</f>
        <v>96.844</v>
      </c>
      <c r="F105" s="14" t="n">
        <f aca="false">IF(Raw_Data!I105="","",Raw_Data!I105)</f>
        <v>96.711</v>
      </c>
      <c r="G105" s="18" t="n">
        <f aca="false">IF(F105="","",(E105-F105)/F105)</f>
        <v>0.00137523135941098</v>
      </c>
      <c r="H105" s="19" t="n">
        <f aca="false">IFERROR(INDEX(Thresholds!$B$2:$B$5,MATCH(C105,Thresholds!$A$2:$A$5,0)),"")</f>
        <v>0.0025</v>
      </c>
      <c r="I105" s="20" t="n">
        <f aca="false">IF(F105="","",D105*(E105-F105))</f>
        <v>2136.51199999993</v>
      </c>
      <c r="J105" s="11" t="str">
        <f aca="false">IF(C105="UNMAPPED","UNMAPPED ASSET CLASS",IF(F105="","NO INDEPENDENT PRICE",IF(ABS(G105)&gt;H105,"BREACH","OK")))</f>
        <v>OK</v>
      </c>
      <c r="K105" s="11" t="str">
        <f aca="false">IF(COUNTIF(Raw_Data!$A$2:A105,Raw_Data!A105)&gt;1,"DUP","UNIQUE")</f>
        <v>UNIQUE</v>
      </c>
      <c r="L105" s="11" t="str">
        <f aca="false">IF(Raw_Data!B105&lt;&gt;Thresholds!$E$1,"STALE","CURRENT")</f>
        <v>CURRENT</v>
      </c>
    </row>
    <row r="106" customFormat="false" ht="15" hidden="false" customHeight="false" outlineLevel="0" collapsed="false">
      <c r="A106" s="15" t="str">
        <f aca="false">Raw_Data!A106</f>
        <v>P0104</v>
      </c>
      <c r="B106" s="15" t="str">
        <f aca="false">Raw_Data!C106</f>
        <v>New York Rates</v>
      </c>
      <c r="C106" s="11" t="str">
        <f aca="false">IFERROR(INDEX(Thresholds!$A$2:$A$5,MATCH(TRIM(Raw_Data!D106),Thresholds!$A$2:$A$5,0)),"UNMAPPED")</f>
        <v>Government Bond</v>
      </c>
      <c r="D106" s="16" t="n">
        <f aca="false">Raw_Data!G106</f>
        <v>19035</v>
      </c>
      <c r="E106" s="17" t="n">
        <f aca="false">Raw_Data!H106</f>
        <v>100.428</v>
      </c>
      <c r="F106" s="14" t="n">
        <f aca="false">IF(Raw_Data!I106="","",Raw_Data!I106)</f>
        <v>100.617</v>
      </c>
      <c r="G106" s="18" t="n">
        <f aca="false">IF(F106="","",(E106-F106)/F106)</f>
        <v>-0.00187841020901048</v>
      </c>
      <c r="H106" s="19" t="n">
        <f aca="false">IFERROR(INDEX(Thresholds!$B$2:$B$5,MATCH(C106,Thresholds!$A$2:$A$5,0)),"")</f>
        <v>0.0025</v>
      </c>
      <c r="I106" s="20" t="n">
        <f aca="false">IF(F106="","",D106*(E106-F106))</f>
        <v>-3597.61500000014</v>
      </c>
      <c r="J106" s="11" t="str">
        <f aca="false">IF(C106="UNMAPPED","UNMAPPED ASSET CLASS",IF(F106="","NO INDEPENDENT PRICE",IF(ABS(G106)&gt;H106,"BREACH","OK")))</f>
        <v>OK</v>
      </c>
      <c r="K106" s="11" t="str">
        <f aca="false">IF(COUNTIF(Raw_Data!$A$2:A106,Raw_Data!A106)&gt;1,"DUP","UNIQUE")</f>
        <v>UNIQUE</v>
      </c>
      <c r="L106" s="11" t="str">
        <f aca="false">IF(Raw_Data!B106&lt;&gt;Thresholds!$E$1,"STALE","CURRENT")</f>
        <v>CURRENT</v>
      </c>
    </row>
    <row r="107" customFormat="false" ht="15" hidden="false" customHeight="false" outlineLevel="0" collapsed="false">
      <c r="A107" s="15" t="str">
        <f aca="false">Raw_Data!A107</f>
        <v>P0105</v>
      </c>
      <c r="B107" s="15" t="str">
        <f aca="false">Raw_Data!C107</f>
        <v>Zurich Equities</v>
      </c>
      <c r="C107" s="11" t="str">
        <f aca="false">IFERROR(INDEX(Thresholds!$A$2:$A$5,MATCH(TRIM(Raw_Data!D107),Thresholds!$A$2:$A$5,0)),"UNMAPPED")</f>
        <v>Equity</v>
      </c>
      <c r="D107" s="16" t="n">
        <f aca="false">Raw_Data!G107</f>
        <v>48365</v>
      </c>
      <c r="E107" s="17" t="n">
        <f aca="false">Raw_Data!H107</f>
        <v>27</v>
      </c>
      <c r="F107" s="14" t="n">
        <f aca="false">IF(Raw_Data!I107="","",Raw_Data!I107)</f>
        <v>27.02</v>
      </c>
      <c r="G107" s="18" t="n">
        <f aca="false">IF(F107="","",(E107-F107)/F107)</f>
        <v>-0.000740192450036994</v>
      </c>
      <c r="H107" s="19" t="n">
        <f aca="false">IFERROR(INDEX(Thresholds!$B$2:$B$5,MATCH(C107,Thresholds!$A$2:$A$5,0)),"")</f>
        <v>0.01</v>
      </c>
      <c r="I107" s="20" t="n">
        <f aca="false">IF(F107="","",D107*(E107-F107))</f>
        <v>-967.299999999979</v>
      </c>
      <c r="J107" s="11" t="str">
        <f aca="false">IF(C107="UNMAPPED","UNMAPPED ASSET CLASS",IF(F107="","NO INDEPENDENT PRICE",IF(ABS(G107)&gt;H107,"BREACH","OK")))</f>
        <v>OK</v>
      </c>
      <c r="K107" s="11" t="str">
        <f aca="false">IF(COUNTIF(Raw_Data!$A$2:A107,Raw_Data!A107)&gt;1,"DUP","UNIQUE")</f>
        <v>UNIQUE</v>
      </c>
      <c r="L107" s="11" t="str">
        <f aca="false">IF(Raw_Data!B107&lt;&gt;Thresholds!$E$1,"STALE","CURRENT")</f>
        <v>CURRENT</v>
      </c>
    </row>
    <row r="108" customFormat="false" ht="15" hidden="false" customHeight="false" outlineLevel="0" collapsed="false">
      <c r="A108" s="15" t="str">
        <f aca="false">Raw_Data!A108</f>
        <v>P0106</v>
      </c>
      <c r="B108" s="15" t="str">
        <f aca="false">Raw_Data!C108</f>
        <v>Zurich Equities</v>
      </c>
      <c r="C108" s="11" t="str">
        <f aca="false">IFERROR(INDEX(Thresholds!$A$2:$A$5,MATCH(TRIM(Raw_Data!D108),Thresholds!$A$2:$A$5,0)),"UNMAPPED")</f>
        <v>Equity</v>
      </c>
      <c r="D108" s="16" t="n">
        <f aca="false">Raw_Data!G108</f>
        <v>10287</v>
      </c>
      <c r="E108" s="17" t="n">
        <f aca="false">Raw_Data!H108</f>
        <v>94.05</v>
      </c>
      <c r="F108" s="14" t="n">
        <f aca="false">IF(Raw_Data!I108="","",Raw_Data!I108)</f>
        <v>96.64</v>
      </c>
      <c r="G108" s="18" t="n">
        <f aca="false">IF(F108="","",(E108-F108)/F108)</f>
        <v>-0.0268004966887418</v>
      </c>
      <c r="H108" s="19" t="n">
        <f aca="false">IFERROR(INDEX(Thresholds!$B$2:$B$5,MATCH(C108,Thresholds!$A$2:$A$5,0)),"")</f>
        <v>0.01</v>
      </c>
      <c r="I108" s="20" t="n">
        <f aca="false">IF(F108="","",D108*(E108-F108))</f>
        <v>-26643.33</v>
      </c>
      <c r="J108" s="11" t="str">
        <f aca="false">IF(C108="UNMAPPED","UNMAPPED ASSET CLASS",IF(F108="","NO INDEPENDENT PRICE",IF(ABS(G108)&gt;H108,"BREACH","OK")))</f>
        <v>BREACH</v>
      </c>
      <c r="K108" s="11" t="str">
        <f aca="false">IF(COUNTIF(Raw_Data!$A$2:A108,Raw_Data!A108)&gt;1,"DUP","UNIQUE")</f>
        <v>UNIQUE</v>
      </c>
      <c r="L108" s="11" t="str">
        <f aca="false">IF(Raw_Data!B108&lt;&gt;Thresholds!$E$1,"STALE","CURRENT")</f>
        <v>CURRENT</v>
      </c>
    </row>
    <row r="109" customFormat="false" ht="15" hidden="false" customHeight="false" outlineLevel="0" collapsed="false">
      <c r="A109" s="15" t="str">
        <f aca="false">Raw_Data!A109</f>
        <v>P0107</v>
      </c>
      <c r="B109" s="15" t="str">
        <f aca="false">Raw_Data!C109</f>
        <v>New York Credit</v>
      </c>
      <c r="C109" s="11" t="str">
        <f aca="false">IFERROR(INDEX(Thresholds!$A$2:$A$5,MATCH(TRIM(Raw_Data!D109),Thresholds!$A$2:$A$5,0)),"UNMAPPED")</f>
        <v>Corporate Bond</v>
      </c>
      <c r="D109" s="16" t="n">
        <f aca="false">Raw_Data!G109</f>
        <v>16554</v>
      </c>
      <c r="E109" s="17" t="n">
        <f aca="false">Raw_Data!H109</f>
        <v>105.289</v>
      </c>
      <c r="F109" s="14" t="n">
        <f aca="false">IF(Raw_Data!I109="","",Raw_Data!I109)</f>
        <v>105.828</v>
      </c>
      <c r="G109" s="18" t="n">
        <f aca="false">IF(F109="","",(E109-F109)/F109)</f>
        <v>-0.00509317004951432</v>
      </c>
      <c r="H109" s="19" t="n">
        <f aca="false">IFERROR(INDEX(Thresholds!$B$2:$B$5,MATCH(C109,Thresholds!$A$2:$A$5,0)),"")</f>
        <v>0.005</v>
      </c>
      <c r="I109" s="20" t="n">
        <f aca="false">IF(F109="","",D109*(E109-F109))</f>
        <v>-8922.60600000003</v>
      </c>
      <c r="J109" s="11" t="str">
        <f aca="false">IF(C109="UNMAPPED","UNMAPPED ASSET CLASS",IF(F109="","NO INDEPENDENT PRICE",IF(ABS(G109)&gt;H109,"BREACH","OK")))</f>
        <v>BREACH</v>
      </c>
      <c r="K109" s="11" t="str">
        <f aca="false">IF(COUNTIF(Raw_Data!$A$2:A109,Raw_Data!A109)&gt;1,"DUP","UNIQUE")</f>
        <v>UNIQUE</v>
      </c>
      <c r="L109" s="11" t="str">
        <f aca="false">IF(Raw_Data!B109&lt;&gt;Thresholds!$E$1,"STALE","CURRENT")</f>
        <v>CURRENT</v>
      </c>
    </row>
    <row r="110" customFormat="false" ht="15" hidden="false" customHeight="false" outlineLevel="0" collapsed="false">
      <c r="A110" s="15" t="str">
        <f aca="false">Raw_Data!A110</f>
        <v>P0108</v>
      </c>
      <c r="B110" s="15" t="str">
        <f aca="false">Raw_Data!C110</f>
        <v>Zurich Equities</v>
      </c>
      <c r="C110" s="11" t="str">
        <f aca="false">IFERROR(INDEX(Thresholds!$A$2:$A$5,MATCH(TRIM(Raw_Data!D110),Thresholds!$A$2:$A$5,0)),"UNMAPPED")</f>
        <v>Equity</v>
      </c>
      <c r="D110" s="16" t="n">
        <f aca="false">Raw_Data!G110</f>
        <v>4437</v>
      </c>
      <c r="E110" s="17" t="n">
        <f aca="false">Raw_Data!H110</f>
        <v>250.1</v>
      </c>
      <c r="F110" s="14" t="n">
        <f aca="false">IF(Raw_Data!I110="","",Raw_Data!I110)</f>
        <v>249.67</v>
      </c>
      <c r="G110" s="18" t="n">
        <f aca="false">IF(F110="","",(E110-F110)/F110)</f>
        <v>0.0017222734008892</v>
      </c>
      <c r="H110" s="19" t="n">
        <f aca="false">IFERROR(INDEX(Thresholds!$B$2:$B$5,MATCH(C110,Thresholds!$A$2:$A$5,0)),"")</f>
        <v>0.01</v>
      </c>
      <c r="I110" s="20" t="n">
        <f aca="false">IF(F110="","",D110*(E110-F110))</f>
        <v>1907.91000000003</v>
      </c>
      <c r="J110" s="11" t="str">
        <f aca="false">IF(C110="UNMAPPED","UNMAPPED ASSET CLASS",IF(F110="","NO INDEPENDENT PRICE",IF(ABS(G110)&gt;H110,"BREACH","OK")))</f>
        <v>OK</v>
      </c>
      <c r="K110" s="11" t="str">
        <f aca="false">IF(COUNTIF(Raw_Data!$A$2:A110,Raw_Data!A110)&gt;1,"DUP","UNIQUE")</f>
        <v>UNIQUE</v>
      </c>
      <c r="L110" s="11" t="str">
        <f aca="false">IF(Raw_Data!B110&lt;&gt;Thresholds!$E$1,"STALE","CURRENT")</f>
        <v>CURRENT</v>
      </c>
    </row>
    <row r="111" customFormat="false" ht="15" hidden="false" customHeight="false" outlineLevel="0" collapsed="false">
      <c r="A111" s="15" t="str">
        <f aca="false">Raw_Data!A111</f>
        <v>P0109</v>
      </c>
      <c r="B111" s="15" t="str">
        <f aca="false">Raw_Data!C111</f>
        <v>London Rates</v>
      </c>
      <c r="C111" s="11" t="str">
        <f aca="false">IFERROR(INDEX(Thresholds!$A$2:$A$5,MATCH(TRIM(Raw_Data!D111),Thresholds!$A$2:$A$5,0)),"UNMAPPED")</f>
        <v>Government Bond</v>
      </c>
      <c r="D111" s="16" t="n">
        <f aca="false">Raw_Data!G111</f>
        <v>19443</v>
      </c>
      <c r="E111" s="17" t="n">
        <f aca="false">Raw_Data!H111</f>
        <v>97.194</v>
      </c>
      <c r="F111" s="14" t="n">
        <f aca="false">IF(Raw_Data!I111="","",Raw_Data!I111)</f>
        <v>96.72</v>
      </c>
      <c r="G111" s="18" t="n">
        <f aca="false">IF(F111="","",(E111-F111)/F111)</f>
        <v>0.00490074441687349</v>
      </c>
      <c r="H111" s="19" t="n">
        <f aca="false">IFERROR(INDEX(Thresholds!$B$2:$B$5,MATCH(C111,Thresholds!$A$2:$A$5,0)),"")</f>
        <v>0.0025</v>
      </c>
      <c r="I111" s="20" t="n">
        <f aca="false">IF(F111="","",D111*(E111-F111))</f>
        <v>9215.98200000007</v>
      </c>
      <c r="J111" s="11" t="str">
        <f aca="false">IF(C111="UNMAPPED","UNMAPPED ASSET CLASS",IF(F111="","NO INDEPENDENT PRICE",IF(ABS(G111)&gt;H111,"BREACH","OK")))</f>
        <v>BREACH</v>
      </c>
      <c r="K111" s="11" t="str">
        <f aca="false">IF(COUNTIF(Raw_Data!$A$2:A111,Raw_Data!A111)&gt;1,"DUP","UNIQUE")</f>
        <v>UNIQUE</v>
      </c>
      <c r="L111" s="11" t="str">
        <f aca="false">IF(Raw_Data!B111&lt;&gt;Thresholds!$E$1,"STALE","CURRENT")</f>
        <v>CURRENT</v>
      </c>
    </row>
    <row r="112" customFormat="false" ht="15" hidden="false" customHeight="false" outlineLevel="0" collapsed="false">
      <c r="A112" s="15" t="str">
        <f aca="false">Raw_Data!A112</f>
        <v>P0110</v>
      </c>
      <c r="B112" s="15" t="str">
        <f aca="false">Raw_Data!C112</f>
        <v>New York Rates</v>
      </c>
      <c r="C112" s="11" t="str">
        <f aca="false">IFERROR(INDEX(Thresholds!$A$2:$A$5,MATCH(TRIM(Raw_Data!D112),Thresholds!$A$2:$A$5,0)),"UNMAPPED")</f>
        <v>Government Bond</v>
      </c>
      <c r="D112" s="16" t="n">
        <f aca="false">Raw_Data!G112</f>
        <v>9668</v>
      </c>
      <c r="E112" s="17" t="n">
        <f aca="false">Raw_Data!H112</f>
        <v>101.624</v>
      </c>
      <c r="F112" s="14" t="n">
        <f aca="false">IF(Raw_Data!I112="","",Raw_Data!I112)</f>
        <v>101.773</v>
      </c>
      <c r="G112" s="18" t="n">
        <f aca="false">IF(F112="","",(E112-F112)/F112)</f>
        <v>-0.00146404252601378</v>
      </c>
      <c r="H112" s="19" t="n">
        <f aca="false">IFERROR(INDEX(Thresholds!$B$2:$B$5,MATCH(C112,Thresholds!$A$2:$A$5,0)),"")</f>
        <v>0.0025</v>
      </c>
      <c r="I112" s="20" t="n">
        <f aca="false">IF(F112="","",D112*(E112-F112))</f>
        <v>-1440.53200000001</v>
      </c>
      <c r="J112" s="11" t="str">
        <f aca="false">IF(C112="UNMAPPED","UNMAPPED ASSET CLASS",IF(F112="","NO INDEPENDENT PRICE",IF(ABS(G112)&gt;H112,"BREACH","OK")))</f>
        <v>OK</v>
      </c>
      <c r="K112" s="11" t="str">
        <f aca="false">IF(COUNTIF(Raw_Data!$A$2:A112,Raw_Data!A112)&gt;1,"DUP","UNIQUE")</f>
        <v>UNIQUE</v>
      </c>
      <c r="L112" s="11" t="str">
        <f aca="false">IF(Raw_Data!B112&lt;&gt;Thresholds!$E$1,"STALE","CURRENT")</f>
        <v>CURRENT</v>
      </c>
    </row>
    <row r="113" customFormat="false" ht="15" hidden="false" customHeight="false" outlineLevel="0" collapsed="false">
      <c r="A113" s="15" t="str">
        <f aca="false">Raw_Data!A113</f>
        <v>P0111</v>
      </c>
      <c r="B113" s="15" t="str">
        <f aca="false">Raw_Data!C113</f>
        <v>London Rates</v>
      </c>
      <c r="C113" s="11" t="str">
        <f aca="false">IFERROR(INDEX(Thresholds!$A$2:$A$5,MATCH(TRIM(Raw_Data!D113),Thresholds!$A$2:$A$5,0)),"UNMAPPED")</f>
        <v>Government Bond</v>
      </c>
      <c r="D113" s="16" t="n">
        <f aca="false">Raw_Data!G113</f>
        <v>16398</v>
      </c>
      <c r="E113" s="17" t="n">
        <f aca="false">Raw_Data!H113</f>
        <v>97.252</v>
      </c>
      <c r="F113" s="14" t="n">
        <f aca="false">IF(Raw_Data!I113="","",Raw_Data!I113)</f>
        <v>97.377</v>
      </c>
      <c r="G113" s="18" t="n">
        <f aca="false">IF(F113="","",(E113-F113)/F113)</f>
        <v>-0.00128367068198856</v>
      </c>
      <c r="H113" s="19" t="n">
        <f aca="false">IFERROR(INDEX(Thresholds!$B$2:$B$5,MATCH(C113,Thresholds!$A$2:$A$5,0)),"")</f>
        <v>0.0025</v>
      </c>
      <c r="I113" s="20" t="n">
        <f aca="false">IF(F113="","",D113*(E113-F113))</f>
        <v>-2049.75</v>
      </c>
      <c r="J113" s="11" t="str">
        <f aca="false">IF(C113="UNMAPPED","UNMAPPED ASSET CLASS",IF(F113="","NO INDEPENDENT PRICE",IF(ABS(G113)&gt;H113,"BREACH","OK")))</f>
        <v>OK</v>
      </c>
      <c r="K113" s="11" t="str">
        <f aca="false">IF(COUNTIF(Raw_Data!$A$2:A113,Raw_Data!A113)&gt;1,"DUP","UNIQUE")</f>
        <v>UNIQUE</v>
      </c>
      <c r="L113" s="11" t="str">
        <f aca="false">IF(Raw_Data!B113&lt;&gt;Thresholds!$E$1,"STALE","CURRENT")</f>
        <v>CURRENT</v>
      </c>
    </row>
    <row r="114" customFormat="false" ht="15" hidden="false" customHeight="false" outlineLevel="0" collapsed="false">
      <c r="A114" s="15" t="str">
        <f aca="false">Raw_Data!A114</f>
        <v>P0112</v>
      </c>
      <c r="B114" s="15" t="str">
        <f aca="false">Raw_Data!C114</f>
        <v>London Credit</v>
      </c>
      <c r="C114" s="11" t="str">
        <f aca="false">IFERROR(INDEX(Thresholds!$A$2:$A$5,MATCH(TRIM(Raw_Data!D114),Thresholds!$A$2:$A$5,0)),"UNMAPPED")</f>
        <v>Corporate Bond</v>
      </c>
      <c r="D114" s="16" t="n">
        <f aca="false">Raw_Data!G114</f>
        <v>11983</v>
      </c>
      <c r="E114" s="17" t="n">
        <f aca="false">Raw_Data!H114</f>
        <v>96.541</v>
      </c>
      <c r="F114" s="14" t="n">
        <f aca="false">IF(Raw_Data!I114="","",Raw_Data!I114)</f>
        <v>97.134</v>
      </c>
      <c r="G114" s="18" t="n">
        <f aca="false">IF(F114="","",(E114-F114)/F114)</f>
        <v>-0.00610496839417715</v>
      </c>
      <c r="H114" s="19" t="n">
        <f aca="false">IFERROR(INDEX(Thresholds!$B$2:$B$5,MATCH(C114,Thresholds!$A$2:$A$5,0)),"")</f>
        <v>0.005</v>
      </c>
      <c r="I114" s="20" t="n">
        <f aca="false">IF(F114="","",D114*(E114-F114))</f>
        <v>-7105.91900000004</v>
      </c>
      <c r="J114" s="11" t="str">
        <f aca="false">IF(C114="UNMAPPED","UNMAPPED ASSET CLASS",IF(F114="","NO INDEPENDENT PRICE",IF(ABS(G114)&gt;H114,"BREACH","OK")))</f>
        <v>BREACH</v>
      </c>
      <c r="K114" s="11" t="str">
        <f aca="false">IF(COUNTIF(Raw_Data!$A$2:A114,Raw_Data!A114)&gt;1,"DUP","UNIQUE")</f>
        <v>UNIQUE</v>
      </c>
      <c r="L114" s="11" t="str">
        <f aca="false">IF(Raw_Data!B114&lt;&gt;Thresholds!$E$1,"STALE","CURRENT")</f>
        <v>CURRENT</v>
      </c>
    </row>
    <row r="115" customFormat="false" ht="15" hidden="false" customHeight="false" outlineLevel="0" collapsed="false">
      <c r="A115" s="15" t="str">
        <f aca="false">Raw_Data!A115</f>
        <v>P0113</v>
      </c>
      <c r="B115" s="15" t="str">
        <f aca="false">Raw_Data!C115</f>
        <v>Singapore FX</v>
      </c>
      <c r="C115" s="11" t="str">
        <f aca="false">IFERROR(INDEX(Thresholds!$A$2:$A$5,MATCH(TRIM(Raw_Data!D115),Thresholds!$A$2:$A$5,0)),"UNMAPPED")</f>
        <v>FX Forward</v>
      </c>
      <c r="D115" s="16" t="n">
        <f aca="false">Raw_Data!G115</f>
        <v>511412</v>
      </c>
      <c r="E115" s="17" t="n">
        <f aca="false">Raw_Data!H115</f>
        <v>0.6081</v>
      </c>
      <c r="F115" s="14" t="n">
        <f aca="false">IF(Raw_Data!I115="","",Raw_Data!I115)</f>
        <v>0.60569</v>
      </c>
      <c r="G115" s="18" t="n">
        <f aca="false">IF(F115="","",(E115-F115)/F115)</f>
        <v>0.00397893311760145</v>
      </c>
      <c r="H115" s="19" t="n">
        <f aca="false">IFERROR(INDEX(Thresholds!$B$2:$B$5,MATCH(C115,Thresholds!$A$2:$A$5,0)),"")</f>
        <v>0.003</v>
      </c>
      <c r="I115" s="20" t="n">
        <f aca="false">IF(F115="","",D115*(E115-F115))</f>
        <v>1232.50292000001</v>
      </c>
      <c r="J115" s="11" t="str">
        <f aca="false">IF(C115="UNMAPPED","UNMAPPED ASSET CLASS",IF(F115="","NO INDEPENDENT PRICE",IF(ABS(G115)&gt;H115,"BREACH","OK")))</f>
        <v>BREACH</v>
      </c>
      <c r="K115" s="11" t="str">
        <f aca="false">IF(COUNTIF(Raw_Data!$A$2:A115,Raw_Data!A115)&gt;1,"DUP","UNIQUE")</f>
        <v>UNIQUE</v>
      </c>
      <c r="L115" s="11" t="str">
        <f aca="false">IF(Raw_Data!B115&lt;&gt;Thresholds!$E$1,"STALE","CURRENT")</f>
        <v>CURRENT</v>
      </c>
    </row>
    <row r="116" customFormat="false" ht="15" hidden="false" customHeight="false" outlineLevel="0" collapsed="false">
      <c r="A116" s="15" t="str">
        <f aca="false">Raw_Data!A116</f>
        <v>P0114</v>
      </c>
      <c r="B116" s="15" t="str">
        <f aca="false">Raw_Data!C116</f>
        <v>London Rates</v>
      </c>
      <c r="C116" s="11" t="str">
        <f aca="false">IFERROR(INDEX(Thresholds!$A$2:$A$5,MATCH(TRIM(Raw_Data!D116),Thresholds!$A$2:$A$5,0)),"UNMAPPED")</f>
        <v>Government Bond</v>
      </c>
      <c r="D116" s="16" t="n">
        <f aca="false">Raw_Data!G116</f>
        <v>3660</v>
      </c>
      <c r="E116" s="17" t="n">
        <f aca="false">Raw_Data!H116</f>
        <v>103.581</v>
      </c>
      <c r="F116" s="14" t="n">
        <f aca="false">IF(Raw_Data!I116="","",Raw_Data!I116)</f>
        <v>103.562</v>
      </c>
      <c r="G116" s="18" t="n">
        <f aca="false">IF(F116="","",(E116-F116)/F116)</f>
        <v>0.000183464977501453</v>
      </c>
      <c r="H116" s="19" t="n">
        <f aca="false">IFERROR(INDEX(Thresholds!$B$2:$B$5,MATCH(C116,Thresholds!$A$2:$A$5,0)),"")</f>
        <v>0.0025</v>
      </c>
      <c r="I116" s="20" t="n">
        <f aca="false">IF(F116="","",D116*(E116-F116))</f>
        <v>69.54000000002</v>
      </c>
      <c r="J116" s="11" t="str">
        <f aca="false">IF(C116="UNMAPPED","UNMAPPED ASSET CLASS",IF(F116="","NO INDEPENDENT PRICE",IF(ABS(G116)&gt;H116,"BREACH","OK")))</f>
        <v>OK</v>
      </c>
      <c r="K116" s="11" t="str">
        <f aca="false">IF(COUNTIF(Raw_Data!$A$2:A116,Raw_Data!A116)&gt;1,"DUP","UNIQUE")</f>
        <v>UNIQUE</v>
      </c>
      <c r="L116" s="11" t="str">
        <f aca="false">IF(Raw_Data!B116&lt;&gt;Thresholds!$E$1,"STALE","CURRENT")</f>
        <v>CURRENT</v>
      </c>
    </row>
    <row r="117" customFormat="false" ht="15" hidden="false" customHeight="false" outlineLevel="0" collapsed="false">
      <c r="A117" s="15" t="str">
        <f aca="false">Raw_Data!A117</f>
        <v>P0115</v>
      </c>
      <c r="B117" s="15" t="str">
        <f aca="false">Raw_Data!C117</f>
        <v>Singapore FX</v>
      </c>
      <c r="C117" s="11" t="str">
        <f aca="false">IFERROR(INDEX(Thresholds!$A$2:$A$5,MATCH(TRIM(Raw_Data!D117),Thresholds!$A$2:$A$5,0)),"UNMAPPED")</f>
        <v>FX Forward</v>
      </c>
      <c r="D117" s="16" t="n">
        <f aca="false">Raw_Data!G117</f>
        <v>2799264</v>
      </c>
      <c r="E117" s="17" t="n">
        <f aca="false">Raw_Data!H117</f>
        <v>1.05534</v>
      </c>
      <c r="F117" s="14" t="n">
        <f aca="false">IF(Raw_Data!I117="","",Raw_Data!I117)</f>
        <v>1.05474</v>
      </c>
      <c r="G117" s="18" t="n">
        <f aca="false">IF(F117="","",(E117-F117)/F117)</f>
        <v>0.000568860572273673</v>
      </c>
      <c r="H117" s="19" t="n">
        <f aca="false">IFERROR(INDEX(Thresholds!$B$2:$B$5,MATCH(C117,Thresholds!$A$2:$A$5,0)),"")</f>
        <v>0.003</v>
      </c>
      <c r="I117" s="20" t="n">
        <f aca="false">IF(F117="","",D117*(E117-F117))</f>
        <v>1679.55839999982</v>
      </c>
      <c r="J117" s="11" t="str">
        <f aca="false">IF(C117="UNMAPPED","UNMAPPED ASSET CLASS",IF(F117="","NO INDEPENDENT PRICE",IF(ABS(G117)&gt;H117,"BREACH","OK")))</f>
        <v>OK</v>
      </c>
      <c r="K117" s="11" t="str">
        <f aca="false">IF(COUNTIF(Raw_Data!$A$2:A117,Raw_Data!A117)&gt;1,"DUP","UNIQUE")</f>
        <v>UNIQUE</v>
      </c>
      <c r="L117" s="11" t="str">
        <f aca="false">IF(Raw_Data!B117&lt;&gt;Thresholds!$E$1,"STALE","CURRENT")</f>
        <v>CURRENT</v>
      </c>
    </row>
    <row r="118" customFormat="false" ht="15" hidden="false" customHeight="false" outlineLevel="0" collapsed="false">
      <c r="A118" s="15" t="str">
        <f aca="false">Raw_Data!A118</f>
        <v>P0116</v>
      </c>
      <c r="B118" s="15" t="str">
        <f aca="false">Raw_Data!C118</f>
        <v>London Rates</v>
      </c>
      <c r="C118" s="11" t="str">
        <f aca="false">IFERROR(INDEX(Thresholds!$A$2:$A$5,MATCH(TRIM(Raw_Data!D118),Thresholds!$A$2:$A$5,0)),"UNMAPPED")</f>
        <v>Government Bond</v>
      </c>
      <c r="D118" s="16" t="n">
        <f aca="false">Raw_Data!G118</f>
        <v>13464</v>
      </c>
      <c r="E118" s="17" t="n">
        <f aca="false">Raw_Data!H118</f>
        <v>102.206</v>
      </c>
      <c r="F118" s="14" t="n">
        <f aca="false">IF(Raw_Data!I118="","",Raw_Data!I118)</f>
        <v>102.076</v>
      </c>
      <c r="G118" s="18" t="n">
        <f aca="false">IF(F118="","",(E118-F118)/F118)</f>
        <v>0.00127356087620998</v>
      </c>
      <c r="H118" s="19" t="n">
        <f aca="false">IFERROR(INDEX(Thresholds!$B$2:$B$5,MATCH(C118,Thresholds!$A$2:$A$5,0)),"")</f>
        <v>0.0025</v>
      </c>
      <c r="I118" s="20" t="n">
        <f aca="false">IF(F118="","",D118*(E118-F118))</f>
        <v>1750.32000000013</v>
      </c>
      <c r="J118" s="11" t="str">
        <f aca="false">IF(C118="UNMAPPED","UNMAPPED ASSET CLASS",IF(F118="","NO INDEPENDENT PRICE",IF(ABS(G118)&gt;H118,"BREACH","OK")))</f>
        <v>OK</v>
      </c>
      <c r="K118" s="11" t="str">
        <f aca="false">IF(COUNTIF(Raw_Data!$A$2:A118,Raw_Data!A118)&gt;1,"DUP","UNIQUE")</f>
        <v>UNIQUE</v>
      </c>
      <c r="L118" s="11" t="str">
        <f aca="false">IF(Raw_Data!B118&lt;&gt;Thresholds!$E$1,"STALE","CURRENT")</f>
        <v>CURRENT</v>
      </c>
    </row>
    <row r="119" customFormat="false" ht="15" hidden="false" customHeight="false" outlineLevel="0" collapsed="false">
      <c r="A119" s="15" t="str">
        <f aca="false">Raw_Data!A119</f>
        <v>P0117</v>
      </c>
      <c r="B119" s="15" t="str">
        <f aca="false">Raw_Data!C119</f>
        <v>New York Credit</v>
      </c>
      <c r="C119" s="11" t="str">
        <f aca="false">IFERROR(INDEX(Thresholds!$A$2:$A$5,MATCH(TRIM(Raw_Data!D119),Thresholds!$A$2:$A$5,0)),"UNMAPPED")</f>
        <v>Corporate Bond</v>
      </c>
      <c r="D119" s="16" t="n">
        <f aca="false">Raw_Data!G119</f>
        <v>14248</v>
      </c>
      <c r="E119" s="17" t="n">
        <f aca="false">Raw_Data!H119</f>
        <v>99.77</v>
      </c>
      <c r="F119" s="14" t="n">
        <f aca="false">IF(Raw_Data!I119="","",Raw_Data!I119)</f>
        <v>100.055</v>
      </c>
      <c r="G119" s="18" t="n">
        <f aca="false">IF(F119="","",(E119-F119)/F119)</f>
        <v>-0.0028484333616512</v>
      </c>
      <c r="H119" s="19" t="n">
        <f aca="false">IFERROR(INDEX(Thresholds!$B$2:$B$5,MATCH(C119,Thresholds!$A$2:$A$5,0)),"")</f>
        <v>0.005</v>
      </c>
      <c r="I119" s="20" t="n">
        <f aca="false">IF(F119="","",D119*(E119-F119))</f>
        <v>-4060.68000000015</v>
      </c>
      <c r="J119" s="11" t="str">
        <f aca="false">IF(C119="UNMAPPED","UNMAPPED ASSET CLASS",IF(F119="","NO INDEPENDENT PRICE",IF(ABS(G119)&gt;H119,"BREACH","OK")))</f>
        <v>OK</v>
      </c>
      <c r="K119" s="11" t="str">
        <f aca="false">IF(COUNTIF(Raw_Data!$A$2:A119,Raw_Data!A119)&gt;1,"DUP","UNIQUE")</f>
        <v>UNIQUE</v>
      </c>
      <c r="L119" s="11" t="str">
        <f aca="false">IF(Raw_Data!B119&lt;&gt;Thresholds!$E$1,"STALE","CURRENT")</f>
        <v>CURRENT</v>
      </c>
    </row>
    <row r="120" customFormat="false" ht="15" hidden="false" customHeight="false" outlineLevel="0" collapsed="false">
      <c r="A120" s="15" t="str">
        <f aca="false">Raw_Data!A120</f>
        <v>P0118</v>
      </c>
      <c r="B120" s="15" t="str">
        <f aca="false">Raw_Data!C120</f>
        <v>New York Rates</v>
      </c>
      <c r="C120" s="11" t="str">
        <f aca="false">IFERROR(INDEX(Thresholds!$A$2:$A$5,MATCH(TRIM(Raw_Data!D120),Thresholds!$A$2:$A$5,0)),"UNMAPPED")</f>
        <v>Government Bond</v>
      </c>
      <c r="D120" s="16" t="n">
        <f aca="false">Raw_Data!G120</f>
        <v>10440</v>
      </c>
      <c r="E120" s="17" t="n">
        <f aca="false">Raw_Data!H120</f>
        <v>96.261</v>
      </c>
      <c r="F120" s="14" t="n">
        <f aca="false">IF(Raw_Data!I120="","",Raw_Data!I120)</f>
        <v>96.181</v>
      </c>
      <c r="G120" s="18" t="n">
        <f aca="false">IF(F120="","",(E120-F120)/F120)</f>
        <v>0.00083176510953305</v>
      </c>
      <c r="H120" s="19" t="n">
        <f aca="false">IFERROR(INDEX(Thresholds!$B$2:$B$5,MATCH(C120,Thresholds!$A$2:$A$5,0)),"")</f>
        <v>0.0025</v>
      </c>
      <c r="I120" s="20" t="n">
        <f aca="false">IF(F120="","",D120*(E120-F120))</f>
        <v>835.199999999982</v>
      </c>
      <c r="J120" s="11" t="str">
        <f aca="false">IF(C120="UNMAPPED","UNMAPPED ASSET CLASS",IF(F120="","NO INDEPENDENT PRICE",IF(ABS(G120)&gt;H120,"BREACH","OK")))</f>
        <v>OK</v>
      </c>
      <c r="K120" s="11" t="str">
        <f aca="false">IF(COUNTIF(Raw_Data!$A$2:A120,Raw_Data!A120)&gt;1,"DUP","UNIQUE")</f>
        <v>UNIQUE</v>
      </c>
      <c r="L120" s="11" t="str">
        <f aca="false">IF(Raw_Data!B120&lt;&gt;Thresholds!$E$1,"STALE","CURRENT")</f>
        <v>CURRENT</v>
      </c>
    </row>
    <row r="121" customFormat="false" ht="15" hidden="false" customHeight="false" outlineLevel="0" collapsed="false">
      <c r="A121" s="15" t="str">
        <f aca="false">Raw_Data!A121</f>
        <v>P0119</v>
      </c>
      <c r="B121" s="15" t="str">
        <f aca="false">Raw_Data!C121</f>
        <v>London Rates</v>
      </c>
      <c r="C121" s="11" t="str">
        <f aca="false">IFERROR(INDEX(Thresholds!$A$2:$A$5,MATCH(TRIM(Raw_Data!D121),Thresholds!$A$2:$A$5,0)),"UNMAPPED")</f>
        <v>Government Bond</v>
      </c>
      <c r="D121" s="16" t="n">
        <f aca="false">Raw_Data!G121</f>
        <v>19544</v>
      </c>
      <c r="E121" s="17" t="n">
        <f aca="false">Raw_Data!H121</f>
        <v>102.37</v>
      </c>
      <c r="F121" s="14" t="n">
        <f aca="false">IF(Raw_Data!I121="","",Raw_Data!I121)</f>
        <v>102.437</v>
      </c>
      <c r="G121" s="18" t="n">
        <f aca="false">IF(F121="","",(E121-F121)/F121)</f>
        <v>-0.000654060544529741</v>
      </c>
      <c r="H121" s="19" t="n">
        <f aca="false">IFERROR(INDEX(Thresholds!$B$2:$B$5,MATCH(C121,Thresholds!$A$2:$A$5,0)),"")</f>
        <v>0.0025</v>
      </c>
      <c r="I121" s="20" t="n">
        <f aca="false">IF(F121="","",D121*(E121-F121))</f>
        <v>-1309.44799999986</v>
      </c>
      <c r="J121" s="11" t="str">
        <f aca="false">IF(C121="UNMAPPED","UNMAPPED ASSET CLASS",IF(F121="","NO INDEPENDENT PRICE",IF(ABS(G121)&gt;H121,"BREACH","OK")))</f>
        <v>OK</v>
      </c>
      <c r="K121" s="11" t="str">
        <f aca="false">IF(COUNTIF(Raw_Data!$A$2:A121,Raw_Data!A121)&gt;1,"DUP","UNIQUE")</f>
        <v>UNIQUE</v>
      </c>
      <c r="L121" s="11" t="str">
        <f aca="false">IF(Raw_Data!B121&lt;&gt;Thresholds!$E$1,"STALE","CURRENT")</f>
        <v>CURRENT</v>
      </c>
    </row>
    <row r="122" customFormat="false" ht="15" hidden="false" customHeight="false" outlineLevel="0" collapsed="false">
      <c r="A122" s="15" t="str">
        <f aca="false">Raw_Data!A122</f>
        <v>P0120</v>
      </c>
      <c r="B122" s="15" t="str">
        <f aca="false">Raw_Data!C122</f>
        <v>New York Credit</v>
      </c>
      <c r="C122" s="11" t="str">
        <f aca="false">IFERROR(INDEX(Thresholds!$A$2:$A$5,MATCH(TRIM(Raw_Data!D122),Thresholds!$A$2:$A$5,0)),"UNMAPPED")</f>
        <v>Corporate Bond</v>
      </c>
      <c r="D122" s="16" t="n">
        <f aca="false">Raw_Data!G122</f>
        <v>4753</v>
      </c>
      <c r="E122" s="17" t="n">
        <f aca="false">Raw_Data!H122</f>
        <v>94.685</v>
      </c>
      <c r="F122" s="14" t="n">
        <f aca="false">IF(Raw_Data!I122="","",Raw_Data!I122)</f>
        <v>94.993</v>
      </c>
      <c r="G122" s="18" t="n">
        <f aca="false">IF(F122="","",(E122-F122)/F122)</f>
        <v>-0.00324234417272844</v>
      </c>
      <c r="H122" s="19" t="n">
        <f aca="false">IFERROR(INDEX(Thresholds!$B$2:$B$5,MATCH(C122,Thresholds!$A$2:$A$5,0)),"")</f>
        <v>0.005</v>
      </c>
      <c r="I122" s="20" t="n">
        <f aca="false">IF(F122="","",D122*(E122-F122))</f>
        <v>-1463.92399999997</v>
      </c>
      <c r="J122" s="11" t="str">
        <f aca="false">IF(C122="UNMAPPED","UNMAPPED ASSET CLASS",IF(F122="","NO INDEPENDENT PRICE",IF(ABS(G122)&gt;H122,"BREACH","OK")))</f>
        <v>OK</v>
      </c>
      <c r="K122" s="11" t="str">
        <f aca="false">IF(COUNTIF(Raw_Data!$A$2:A122,Raw_Data!A122)&gt;1,"DUP","UNIQUE")</f>
        <v>UNIQUE</v>
      </c>
      <c r="L122" s="11" t="str">
        <f aca="false">IF(Raw_Data!B122&lt;&gt;Thresholds!$E$1,"STALE","CURRENT")</f>
        <v>CURRENT</v>
      </c>
    </row>
    <row r="123" customFormat="false" ht="15" hidden="false" customHeight="false" outlineLevel="0" collapsed="false">
      <c r="A123" s="15" t="str">
        <f aca="false">Raw_Data!A123</f>
        <v>P0121</v>
      </c>
      <c r="B123" s="15" t="str">
        <f aca="false">Raw_Data!C123</f>
        <v>Zurich Equities</v>
      </c>
      <c r="C123" s="11" t="str">
        <f aca="false">IFERROR(INDEX(Thresholds!$A$2:$A$5,MATCH(TRIM(Raw_Data!D123),Thresholds!$A$2:$A$5,0)),"UNMAPPED")</f>
        <v>Equity</v>
      </c>
      <c r="D123" s="16" t="n">
        <f aca="false">Raw_Data!G123</f>
        <v>16576</v>
      </c>
      <c r="E123" s="17" t="n">
        <f aca="false">Raw_Data!H123</f>
        <v>127.73</v>
      </c>
      <c r="F123" s="14" t="n">
        <f aca="false">IF(Raw_Data!I123="","",Raw_Data!I123)</f>
        <v>128.32</v>
      </c>
      <c r="G123" s="18" t="n">
        <f aca="false">IF(F123="","",(E123-F123)/F123)</f>
        <v>-0.00459788029925179</v>
      </c>
      <c r="H123" s="19" t="n">
        <f aca="false">IFERROR(INDEX(Thresholds!$B$2:$B$5,MATCH(C123,Thresholds!$A$2:$A$5,0)),"")</f>
        <v>0.01</v>
      </c>
      <c r="I123" s="20" t="n">
        <f aca="false">IF(F123="","",D123*(E123-F123))</f>
        <v>-9779.83999999982</v>
      </c>
      <c r="J123" s="11" t="str">
        <f aca="false">IF(C123="UNMAPPED","UNMAPPED ASSET CLASS",IF(F123="","NO INDEPENDENT PRICE",IF(ABS(G123)&gt;H123,"BREACH","OK")))</f>
        <v>OK</v>
      </c>
      <c r="K123" s="11" t="str">
        <f aca="false">IF(COUNTIF(Raw_Data!$A$2:A123,Raw_Data!A123)&gt;1,"DUP","UNIQUE")</f>
        <v>UNIQUE</v>
      </c>
      <c r="L123" s="11" t="str">
        <f aca="false">IF(Raw_Data!B123&lt;&gt;Thresholds!$E$1,"STALE","CURRENT")</f>
        <v>CURRENT</v>
      </c>
    </row>
    <row r="124" customFormat="false" ht="15" hidden="false" customHeight="false" outlineLevel="0" collapsed="false">
      <c r="A124" s="15" t="str">
        <f aca="false">Raw_Data!A124</f>
        <v>P0122</v>
      </c>
      <c r="B124" s="15" t="str">
        <f aca="false">Raw_Data!C124</f>
        <v>Singapore Equities</v>
      </c>
      <c r="C124" s="11" t="str">
        <f aca="false">IFERROR(INDEX(Thresholds!$A$2:$A$5,MATCH(TRIM(Raw_Data!D124),Thresholds!$A$2:$A$5,0)),"UNMAPPED")</f>
        <v>Equity</v>
      </c>
      <c r="D124" s="16" t="n">
        <f aca="false">Raw_Data!G124</f>
        <v>10438</v>
      </c>
      <c r="E124" s="17" t="n">
        <f aca="false">Raw_Data!H124</f>
        <v>266.64</v>
      </c>
      <c r="F124" s="14" t="n">
        <f aca="false">IF(Raw_Data!I124="","",Raw_Data!I124)</f>
        <v>265.71</v>
      </c>
      <c r="G124" s="18" t="n">
        <f aca="false">IF(F124="","",(E124-F124)/F124)</f>
        <v>0.00350005645252345</v>
      </c>
      <c r="H124" s="19" t="n">
        <f aca="false">IFERROR(INDEX(Thresholds!$B$2:$B$5,MATCH(C124,Thresholds!$A$2:$A$5,0)),"")</f>
        <v>0.01</v>
      </c>
      <c r="I124" s="20" t="n">
        <f aca="false">IF(F124="","",D124*(E124-F124))</f>
        <v>9707.34000000007</v>
      </c>
      <c r="J124" s="11" t="str">
        <f aca="false">IF(C124="UNMAPPED","UNMAPPED ASSET CLASS",IF(F124="","NO INDEPENDENT PRICE",IF(ABS(G124)&gt;H124,"BREACH","OK")))</f>
        <v>OK</v>
      </c>
      <c r="K124" s="11" t="str">
        <f aca="false">IF(COUNTIF(Raw_Data!$A$2:A124,Raw_Data!A124)&gt;1,"DUP","UNIQUE")</f>
        <v>UNIQUE</v>
      </c>
      <c r="L124" s="11" t="str">
        <f aca="false">IF(Raw_Data!B124&lt;&gt;Thresholds!$E$1,"STALE","CURRENT")</f>
        <v>CURRENT</v>
      </c>
    </row>
    <row r="125" customFormat="false" ht="15" hidden="false" customHeight="false" outlineLevel="0" collapsed="false">
      <c r="A125" s="15" t="str">
        <f aca="false">Raw_Data!A125</f>
        <v>P0123</v>
      </c>
      <c r="B125" s="15" t="str">
        <f aca="false">Raw_Data!C125</f>
        <v>London Rates</v>
      </c>
      <c r="C125" s="11" t="str">
        <f aca="false">IFERROR(INDEX(Thresholds!$A$2:$A$5,MATCH(TRIM(Raw_Data!D125),Thresholds!$A$2:$A$5,0)),"UNMAPPED")</f>
        <v>Government Bond</v>
      </c>
      <c r="D125" s="16" t="n">
        <f aca="false">Raw_Data!G125</f>
        <v>8874</v>
      </c>
      <c r="E125" s="17" t="n">
        <f aca="false">Raw_Data!H125</f>
        <v>97.931</v>
      </c>
      <c r="F125" s="14" t="n">
        <f aca="false">IF(Raw_Data!I125="","",Raw_Data!I125)</f>
        <v>98.035</v>
      </c>
      <c r="G125" s="18" t="n">
        <f aca="false">IF(F125="","",(E125-F125)/F125)</f>
        <v>-0.0010608456163615</v>
      </c>
      <c r="H125" s="19" t="n">
        <f aca="false">IFERROR(INDEX(Thresholds!$B$2:$B$5,MATCH(C125,Thresholds!$A$2:$A$5,0)),"")</f>
        <v>0.0025</v>
      </c>
      <c r="I125" s="20" t="n">
        <f aca="false">IF(F125="","",D125*(E125-F125))</f>
        <v>-922.895999999993</v>
      </c>
      <c r="J125" s="11" t="str">
        <f aca="false">IF(C125="UNMAPPED","UNMAPPED ASSET CLASS",IF(F125="","NO INDEPENDENT PRICE",IF(ABS(G125)&gt;H125,"BREACH","OK")))</f>
        <v>OK</v>
      </c>
      <c r="K125" s="11" t="str">
        <f aca="false">IF(COUNTIF(Raw_Data!$A$2:A125,Raw_Data!A125)&gt;1,"DUP","UNIQUE")</f>
        <v>UNIQUE</v>
      </c>
      <c r="L125" s="11" t="str">
        <f aca="false">IF(Raw_Data!B125&lt;&gt;Thresholds!$E$1,"STALE","CURRENT")</f>
        <v>CURRENT</v>
      </c>
    </row>
    <row r="126" customFormat="false" ht="15" hidden="false" customHeight="false" outlineLevel="0" collapsed="false">
      <c r="A126" s="15" t="str">
        <f aca="false">Raw_Data!A126</f>
        <v>P0124</v>
      </c>
      <c r="B126" s="15" t="str">
        <f aca="false">Raw_Data!C126</f>
        <v>London Rates</v>
      </c>
      <c r="C126" s="11" t="str">
        <f aca="false">IFERROR(INDEX(Thresholds!$A$2:$A$5,MATCH(TRIM(Raw_Data!D126),Thresholds!$A$2:$A$5,0)),"UNMAPPED")</f>
        <v>Government Bond</v>
      </c>
      <c r="D126" s="16" t="n">
        <f aca="false">Raw_Data!G126</f>
        <v>2786</v>
      </c>
      <c r="E126" s="17" t="n">
        <f aca="false">Raw_Data!H126</f>
        <v>98.194</v>
      </c>
      <c r="F126" s="14" t="n">
        <f aca="false">IF(Raw_Data!I126="","",Raw_Data!I126)</f>
        <v>98.179</v>
      </c>
      <c r="G126" s="18" t="n">
        <f aca="false">IF(F126="","",(E126-F126)/F126)</f>
        <v>0.000152782163191727</v>
      </c>
      <c r="H126" s="19" t="n">
        <f aca="false">IFERROR(INDEX(Thresholds!$B$2:$B$5,MATCH(C126,Thresholds!$A$2:$A$5,0)),"")</f>
        <v>0.0025</v>
      </c>
      <c r="I126" s="20" t="n">
        <f aca="false">IF(F126="","",D126*(E126-F126))</f>
        <v>41.7900000000016</v>
      </c>
      <c r="J126" s="11" t="str">
        <f aca="false">IF(C126="UNMAPPED","UNMAPPED ASSET CLASS",IF(F126="","NO INDEPENDENT PRICE",IF(ABS(G126)&gt;H126,"BREACH","OK")))</f>
        <v>OK</v>
      </c>
      <c r="K126" s="11" t="str">
        <f aca="false">IF(COUNTIF(Raw_Data!$A$2:A126,Raw_Data!A126)&gt;1,"DUP","UNIQUE")</f>
        <v>UNIQUE</v>
      </c>
      <c r="L126" s="11" t="str">
        <f aca="false">IF(Raw_Data!B126&lt;&gt;Thresholds!$E$1,"STALE","CURRENT")</f>
        <v>STALE</v>
      </c>
    </row>
    <row r="127" customFormat="false" ht="15" hidden="false" customHeight="false" outlineLevel="0" collapsed="false">
      <c r="A127" s="15" t="str">
        <f aca="false">Raw_Data!A127</f>
        <v>P0125</v>
      </c>
      <c r="B127" s="15" t="str">
        <f aca="false">Raw_Data!C127</f>
        <v>New York Credit</v>
      </c>
      <c r="C127" s="11" t="str">
        <f aca="false">IFERROR(INDEX(Thresholds!$A$2:$A$5,MATCH(TRIM(Raw_Data!D127),Thresholds!$A$2:$A$5,0)),"UNMAPPED")</f>
        <v>Corporate Bond</v>
      </c>
      <c r="D127" s="16" t="n">
        <f aca="false">Raw_Data!G127</f>
        <v>14730</v>
      </c>
      <c r="E127" s="17" t="n">
        <f aca="false">Raw_Data!H127</f>
        <v>104.056</v>
      </c>
      <c r="F127" s="14" t="n">
        <f aca="false">IF(Raw_Data!I127="","",Raw_Data!I127)</f>
        <v>103.668</v>
      </c>
      <c r="G127" s="18" t="n">
        <f aca="false">IF(F127="","",(E127-F127)/F127)</f>
        <v>0.00374271713547084</v>
      </c>
      <c r="H127" s="19" t="n">
        <f aca="false">IFERROR(INDEX(Thresholds!$B$2:$B$5,MATCH(C127,Thresholds!$A$2:$A$5,0)),"")</f>
        <v>0.005</v>
      </c>
      <c r="I127" s="20" t="n">
        <f aca="false">IF(F127="","",D127*(E127-F127))</f>
        <v>5715.23999999987</v>
      </c>
      <c r="J127" s="11" t="str">
        <f aca="false">IF(C127="UNMAPPED","UNMAPPED ASSET CLASS",IF(F127="","NO INDEPENDENT PRICE",IF(ABS(G127)&gt;H127,"BREACH","OK")))</f>
        <v>OK</v>
      </c>
      <c r="K127" s="11" t="str">
        <f aca="false">IF(COUNTIF(Raw_Data!$A$2:A127,Raw_Data!A127)&gt;1,"DUP","UNIQUE")</f>
        <v>UNIQUE</v>
      </c>
      <c r="L127" s="11" t="str">
        <f aca="false">IF(Raw_Data!B127&lt;&gt;Thresholds!$E$1,"STALE","CURRENT")</f>
        <v>CURRENT</v>
      </c>
    </row>
    <row r="128" customFormat="false" ht="15" hidden="false" customHeight="false" outlineLevel="0" collapsed="false">
      <c r="A128" s="15" t="str">
        <f aca="false">Raw_Data!A128</f>
        <v>P0126</v>
      </c>
      <c r="B128" s="15" t="str">
        <f aca="false">Raw_Data!C128</f>
        <v>Zurich FX</v>
      </c>
      <c r="C128" s="11" t="str">
        <f aca="false">IFERROR(INDEX(Thresholds!$A$2:$A$5,MATCH(TRIM(Raw_Data!D128),Thresholds!$A$2:$A$5,0)),"UNMAPPED")</f>
        <v>FX Forward</v>
      </c>
      <c r="D128" s="16" t="n">
        <f aca="false">Raw_Data!G128</f>
        <v>2510709</v>
      </c>
      <c r="E128" s="17" t="n">
        <f aca="false">Raw_Data!H128</f>
        <v>1.21746</v>
      </c>
      <c r="F128" s="14" t="n">
        <f aca="false">IF(Raw_Data!I128="","",Raw_Data!I128)</f>
        <v>1.2172</v>
      </c>
      <c r="G128" s="18" t="n">
        <f aca="false">IF(F128="","",(E128-F128)/F128)</f>
        <v>0.000213604995070594</v>
      </c>
      <c r="H128" s="19" t="n">
        <f aca="false">IFERROR(INDEX(Thresholds!$B$2:$B$5,MATCH(C128,Thresholds!$A$2:$A$5,0)),"")</f>
        <v>0.003</v>
      </c>
      <c r="I128" s="20" t="n">
        <f aca="false">IF(F128="","",D128*(E128-F128))</f>
        <v>652.784339999817</v>
      </c>
      <c r="J128" s="11" t="str">
        <f aca="false">IF(C128="UNMAPPED","UNMAPPED ASSET CLASS",IF(F128="","NO INDEPENDENT PRICE",IF(ABS(G128)&gt;H128,"BREACH","OK")))</f>
        <v>OK</v>
      </c>
      <c r="K128" s="11" t="str">
        <f aca="false">IF(COUNTIF(Raw_Data!$A$2:A128,Raw_Data!A128)&gt;1,"DUP","UNIQUE")</f>
        <v>UNIQUE</v>
      </c>
      <c r="L128" s="11" t="str">
        <f aca="false">IF(Raw_Data!B128&lt;&gt;Thresholds!$E$1,"STALE","CURRENT")</f>
        <v>CURRENT</v>
      </c>
    </row>
    <row r="129" customFormat="false" ht="15" hidden="false" customHeight="false" outlineLevel="0" collapsed="false">
      <c r="A129" s="15" t="str">
        <f aca="false">Raw_Data!A129</f>
        <v>P0127</v>
      </c>
      <c r="B129" s="15" t="str">
        <f aca="false">Raw_Data!C129</f>
        <v>New York Credit</v>
      </c>
      <c r="C129" s="11" t="str">
        <f aca="false">IFERROR(INDEX(Thresholds!$A$2:$A$5,MATCH(TRIM(Raw_Data!D129),Thresholds!$A$2:$A$5,0)),"UNMAPPED")</f>
        <v>Corporate Bond</v>
      </c>
      <c r="D129" s="16" t="n">
        <f aca="false">Raw_Data!G129</f>
        <v>19893</v>
      </c>
      <c r="E129" s="17" t="n">
        <f aca="false">Raw_Data!H129</f>
        <v>101.699</v>
      </c>
      <c r="F129" s="14" t="n">
        <f aca="false">IF(Raw_Data!I129="","",Raw_Data!I129)</f>
        <v>101.95</v>
      </c>
      <c r="G129" s="18" t="n">
        <f aca="false">IF(F129="","",(E129-F129)/F129)</f>
        <v>-0.00246199117214325</v>
      </c>
      <c r="H129" s="19" t="n">
        <f aca="false">IFERROR(INDEX(Thresholds!$B$2:$B$5,MATCH(C129,Thresholds!$A$2:$A$5,0)),"")</f>
        <v>0.005</v>
      </c>
      <c r="I129" s="20" t="n">
        <f aca="false">IF(F129="","",D129*(E129-F129))</f>
        <v>-4993.1430000001</v>
      </c>
      <c r="J129" s="11" t="str">
        <f aca="false">IF(C129="UNMAPPED","UNMAPPED ASSET CLASS",IF(F129="","NO INDEPENDENT PRICE",IF(ABS(G129)&gt;H129,"BREACH","OK")))</f>
        <v>OK</v>
      </c>
      <c r="K129" s="11" t="str">
        <f aca="false">IF(COUNTIF(Raw_Data!$A$2:A129,Raw_Data!A129)&gt;1,"DUP","UNIQUE")</f>
        <v>UNIQUE</v>
      </c>
      <c r="L129" s="11" t="str">
        <f aca="false">IF(Raw_Data!B129&lt;&gt;Thresholds!$E$1,"STALE","CURRENT")</f>
        <v>CURRENT</v>
      </c>
    </row>
    <row r="130" customFormat="false" ht="15" hidden="false" customHeight="false" outlineLevel="0" collapsed="false">
      <c r="A130" s="15" t="str">
        <f aca="false">Raw_Data!A130</f>
        <v>P0128</v>
      </c>
      <c r="B130" s="15" t="str">
        <f aca="false">Raw_Data!C130</f>
        <v>Zurich Equities</v>
      </c>
      <c r="C130" s="11" t="str">
        <f aca="false">IFERROR(INDEX(Thresholds!$A$2:$A$5,MATCH(TRIM(Raw_Data!D130),Thresholds!$A$2:$A$5,0)),"UNMAPPED")</f>
        <v>Equity</v>
      </c>
      <c r="D130" s="16" t="n">
        <f aca="false">Raw_Data!G130</f>
        <v>10759</v>
      </c>
      <c r="E130" s="17" t="n">
        <f aca="false">Raw_Data!H130</f>
        <v>126.44</v>
      </c>
      <c r="F130" s="14" t="n">
        <f aca="false">IF(Raw_Data!I130="","",Raw_Data!I130)</f>
        <v>127.6</v>
      </c>
      <c r="G130" s="18" t="n">
        <f aca="false">IF(F130="","",(E130-F130)/F130)</f>
        <v>-0.00909090909090906</v>
      </c>
      <c r="H130" s="19" t="n">
        <f aca="false">IFERROR(INDEX(Thresholds!$B$2:$B$5,MATCH(C130,Thresholds!$A$2:$A$5,0)),"")</f>
        <v>0.01</v>
      </c>
      <c r="I130" s="20" t="n">
        <f aca="false">IF(F130="","",D130*(E130-F130))</f>
        <v>-12480.44</v>
      </c>
      <c r="J130" s="11" t="str">
        <f aca="false">IF(C130="UNMAPPED","UNMAPPED ASSET CLASS",IF(F130="","NO INDEPENDENT PRICE",IF(ABS(G130)&gt;H130,"BREACH","OK")))</f>
        <v>OK</v>
      </c>
      <c r="K130" s="11" t="str">
        <f aca="false">IF(COUNTIF(Raw_Data!$A$2:A130,Raw_Data!A130)&gt;1,"DUP","UNIQUE")</f>
        <v>UNIQUE</v>
      </c>
      <c r="L130" s="11" t="str">
        <f aca="false">IF(Raw_Data!B130&lt;&gt;Thresholds!$E$1,"STALE","CURRENT")</f>
        <v>CURRENT</v>
      </c>
    </row>
    <row r="131" customFormat="false" ht="15" hidden="false" customHeight="false" outlineLevel="0" collapsed="false">
      <c r="A131" s="15" t="str">
        <f aca="false">Raw_Data!A131</f>
        <v>P0129</v>
      </c>
      <c r="B131" s="15" t="str">
        <f aca="false">Raw_Data!C131</f>
        <v>Zurich Equities</v>
      </c>
      <c r="C131" s="11" t="str">
        <f aca="false">IFERROR(INDEX(Thresholds!$A$2:$A$5,MATCH(TRIM(Raw_Data!D131),Thresholds!$A$2:$A$5,0)),"UNMAPPED")</f>
        <v>Equity</v>
      </c>
      <c r="D131" s="16" t="n">
        <f aca="false">Raw_Data!G131</f>
        <v>22398</v>
      </c>
      <c r="E131" s="17" t="n">
        <f aca="false">Raw_Data!H131</f>
        <v>215.48</v>
      </c>
      <c r="F131" s="14" t="n">
        <f aca="false">IF(Raw_Data!I131="","",Raw_Data!I131)</f>
        <v>216.53</v>
      </c>
      <c r="G131" s="18" t="n">
        <f aca="false">IF(F131="","",(E131-F131)/F131)</f>
        <v>-0.00484921258024298</v>
      </c>
      <c r="H131" s="19" t="n">
        <f aca="false">IFERROR(INDEX(Thresholds!$B$2:$B$5,MATCH(C131,Thresholds!$A$2:$A$5,0)),"")</f>
        <v>0.01</v>
      </c>
      <c r="I131" s="20" t="n">
        <f aca="false">IF(F131="","",D131*(E131-F131))</f>
        <v>-23517.9000000003</v>
      </c>
      <c r="J131" s="11" t="str">
        <f aca="false">IF(C131="UNMAPPED","UNMAPPED ASSET CLASS",IF(F131="","NO INDEPENDENT PRICE",IF(ABS(G131)&gt;H131,"BREACH","OK")))</f>
        <v>OK</v>
      </c>
      <c r="K131" s="11" t="str">
        <f aca="false">IF(COUNTIF(Raw_Data!$A$2:A131,Raw_Data!A131)&gt;1,"DUP","UNIQUE")</f>
        <v>UNIQUE</v>
      </c>
      <c r="L131" s="11" t="str">
        <f aca="false">IF(Raw_Data!B131&lt;&gt;Thresholds!$E$1,"STALE","CURRENT")</f>
        <v>CURRENT</v>
      </c>
    </row>
    <row r="132" customFormat="false" ht="15" hidden="false" customHeight="false" outlineLevel="0" collapsed="false">
      <c r="A132" s="15" t="str">
        <f aca="false">Raw_Data!A132</f>
        <v>P0130</v>
      </c>
      <c r="B132" s="15" t="str">
        <f aca="false">Raw_Data!C132</f>
        <v>Zurich Equities</v>
      </c>
      <c r="C132" s="11" t="str">
        <f aca="false">IFERROR(INDEX(Thresholds!$A$2:$A$5,MATCH(TRIM(Raw_Data!D132),Thresholds!$A$2:$A$5,0)),"UNMAPPED")</f>
        <v>Equity</v>
      </c>
      <c r="D132" s="16" t="n">
        <f aca="false">Raw_Data!G132</f>
        <v>10999</v>
      </c>
      <c r="E132" s="17" t="n">
        <f aca="false">Raw_Data!H132</f>
        <v>291.32</v>
      </c>
      <c r="F132" s="14" t="str">
        <f aca="false">IF(Raw_Data!I132="","",Raw_Data!I132)</f>
        <v/>
      </c>
      <c r="G132" s="18" t="str">
        <f aca="false">IF(F132="","",(E132-F132)/F132)</f>
        <v/>
      </c>
      <c r="H132" s="19" t="n">
        <f aca="false">IFERROR(INDEX(Thresholds!$B$2:$B$5,MATCH(C132,Thresholds!$A$2:$A$5,0)),"")</f>
        <v>0.01</v>
      </c>
      <c r="I132" s="20" t="str">
        <f aca="false">IF(F132="","",D132*(E132-F132))</f>
        <v/>
      </c>
      <c r="J132" s="11" t="str">
        <f aca="false">IF(C132="UNMAPPED","UNMAPPED ASSET CLASS",IF(F132="","NO INDEPENDENT PRICE",IF(ABS(G132)&gt;H132,"BREACH","OK")))</f>
        <v>NO INDEPENDENT PRICE</v>
      </c>
      <c r="K132" s="11" t="str">
        <f aca="false">IF(COUNTIF(Raw_Data!$A$2:A132,Raw_Data!A132)&gt;1,"DUP","UNIQUE")</f>
        <v>UNIQUE</v>
      </c>
      <c r="L132" s="11" t="str">
        <f aca="false">IF(Raw_Data!B132&lt;&gt;Thresholds!$E$1,"STALE","CURRENT")</f>
        <v>CURRENT</v>
      </c>
    </row>
    <row r="133" customFormat="false" ht="15" hidden="false" customHeight="false" outlineLevel="0" collapsed="false">
      <c r="A133" s="15" t="str">
        <f aca="false">Raw_Data!A133</f>
        <v>P0131</v>
      </c>
      <c r="B133" s="15" t="str">
        <f aca="false">Raw_Data!C133</f>
        <v>New York Rates</v>
      </c>
      <c r="C133" s="11" t="str">
        <f aca="false">IFERROR(INDEX(Thresholds!$A$2:$A$5,MATCH(TRIM(Raw_Data!D133),Thresholds!$A$2:$A$5,0)),"UNMAPPED")</f>
        <v>Government Bond</v>
      </c>
      <c r="D133" s="16" t="n">
        <f aca="false">Raw_Data!G133</f>
        <v>14488</v>
      </c>
      <c r="E133" s="17" t="n">
        <f aca="false">Raw_Data!H133</f>
        <v>98.568</v>
      </c>
      <c r="F133" s="14" t="n">
        <f aca="false">IF(Raw_Data!I133="","",Raw_Data!I133)</f>
        <v>98.522</v>
      </c>
      <c r="G133" s="18" t="n">
        <f aca="false">IF(F133="","",(E133-F133)/F133)</f>
        <v>0.000466900793731271</v>
      </c>
      <c r="H133" s="19" t="n">
        <f aca="false">IFERROR(INDEX(Thresholds!$B$2:$B$5,MATCH(C133,Thresholds!$A$2:$A$5,0)),"")</f>
        <v>0.0025</v>
      </c>
      <c r="I133" s="20" t="n">
        <f aca="false">IF(F133="","",D133*(E133-F133))</f>
        <v>666.447999999888</v>
      </c>
      <c r="J133" s="11" t="str">
        <f aca="false">IF(C133="UNMAPPED","UNMAPPED ASSET CLASS",IF(F133="","NO INDEPENDENT PRICE",IF(ABS(G133)&gt;H133,"BREACH","OK")))</f>
        <v>OK</v>
      </c>
      <c r="K133" s="11" t="str">
        <f aca="false">IF(COUNTIF(Raw_Data!$A$2:A133,Raw_Data!A133)&gt;1,"DUP","UNIQUE")</f>
        <v>UNIQUE</v>
      </c>
      <c r="L133" s="11" t="str">
        <f aca="false">IF(Raw_Data!B133&lt;&gt;Thresholds!$E$1,"STALE","CURRENT")</f>
        <v>CURRENT</v>
      </c>
    </row>
    <row r="134" customFormat="false" ht="15" hidden="false" customHeight="false" outlineLevel="0" collapsed="false">
      <c r="A134" s="15" t="str">
        <f aca="false">Raw_Data!A134</f>
        <v>P0132</v>
      </c>
      <c r="B134" s="15" t="str">
        <f aca="false">Raw_Data!C134</f>
        <v>New York Rates</v>
      </c>
      <c r="C134" s="11" t="str">
        <f aca="false">IFERROR(INDEX(Thresholds!$A$2:$A$5,MATCH(TRIM(Raw_Data!D134),Thresholds!$A$2:$A$5,0)),"UNMAPPED")</f>
        <v>Government Bond</v>
      </c>
      <c r="D134" s="16" t="n">
        <f aca="false">Raw_Data!G134</f>
        <v>9794</v>
      </c>
      <c r="E134" s="17" t="n">
        <f aca="false">Raw_Data!H134</f>
        <v>102.606</v>
      </c>
      <c r="F134" s="14" t="n">
        <f aca="false">IF(Raw_Data!I134="","",Raw_Data!I134)</f>
        <v>102.692</v>
      </c>
      <c r="G134" s="18" t="n">
        <f aca="false">IF(F134="","",(E134-F134)/F134)</f>
        <v>-0.000837455692751125</v>
      </c>
      <c r="H134" s="19" t="n">
        <f aca="false">IFERROR(INDEX(Thresholds!$B$2:$B$5,MATCH(C134,Thresholds!$A$2:$A$5,0)),"")</f>
        <v>0.0025</v>
      </c>
      <c r="I134" s="20" t="n">
        <f aca="false">IF(F134="","",D134*(E134-F134))</f>
        <v>-842.283999999986</v>
      </c>
      <c r="J134" s="11" t="str">
        <f aca="false">IF(C134="UNMAPPED","UNMAPPED ASSET CLASS",IF(F134="","NO INDEPENDENT PRICE",IF(ABS(G134)&gt;H134,"BREACH","OK")))</f>
        <v>OK</v>
      </c>
      <c r="K134" s="11" t="str">
        <f aca="false">IF(COUNTIF(Raw_Data!$A$2:A134,Raw_Data!A134)&gt;1,"DUP","UNIQUE")</f>
        <v>UNIQUE</v>
      </c>
      <c r="L134" s="11" t="str">
        <f aca="false">IF(Raw_Data!B134&lt;&gt;Thresholds!$E$1,"STALE","CURRENT")</f>
        <v>CURRENT</v>
      </c>
    </row>
    <row r="135" customFormat="false" ht="15" hidden="false" customHeight="false" outlineLevel="0" collapsed="false">
      <c r="A135" s="15" t="str">
        <f aca="false">Raw_Data!A135</f>
        <v>P0133</v>
      </c>
      <c r="B135" s="15" t="str">
        <f aca="false">Raw_Data!C135</f>
        <v>New York Rates</v>
      </c>
      <c r="C135" s="11" t="str">
        <f aca="false">IFERROR(INDEX(Thresholds!$A$2:$A$5,MATCH(TRIM(Raw_Data!D135),Thresholds!$A$2:$A$5,0)),"UNMAPPED")</f>
        <v>Government Bond</v>
      </c>
      <c r="D135" s="16" t="n">
        <f aca="false">Raw_Data!G135</f>
        <v>8501</v>
      </c>
      <c r="E135" s="17" t="n">
        <f aca="false">Raw_Data!H135</f>
        <v>96.207</v>
      </c>
      <c r="F135" s="14" t="n">
        <f aca="false">IF(Raw_Data!I135="","",Raw_Data!I135)</f>
        <v>96.182</v>
      </c>
      <c r="G135" s="18" t="n">
        <f aca="false">IF(F135="","",(E135-F135)/F135)</f>
        <v>0.000259923894283665</v>
      </c>
      <c r="H135" s="19" t="n">
        <f aca="false">IFERROR(INDEX(Thresholds!$B$2:$B$5,MATCH(C135,Thresholds!$A$2:$A$5,0)),"")</f>
        <v>0.0025</v>
      </c>
      <c r="I135" s="20" t="n">
        <f aca="false">IF(F135="","",D135*(E135-F135))</f>
        <v>212.524999999928</v>
      </c>
      <c r="J135" s="11" t="str">
        <f aca="false">IF(C135="UNMAPPED","UNMAPPED ASSET CLASS",IF(F135="","NO INDEPENDENT PRICE",IF(ABS(G135)&gt;H135,"BREACH","OK")))</f>
        <v>OK</v>
      </c>
      <c r="K135" s="11" t="str">
        <f aca="false">IF(COUNTIF(Raw_Data!$A$2:A135,Raw_Data!A135)&gt;1,"DUP","UNIQUE")</f>
        <v>UNIQUE</v>
      </c>
      <c r="L135" s="11" t="str">
        <f aca="false">IF(Raw_Data!B135&lt;&gt;Thresholds!$E$1,"STALE","CURRENT")</f>
        <v>CURRENT</v>
      </c>
    </row>
    <row r="136" customFormat="false" ht="15" hidden="false" customHeight="false" outlineLevel="0" collapsed="false">
      <c r="A136" s="15" t="str">
        <f aca="false">Raw_Data!A136</f>
        <v>P0134</v>
      </c>
      <c r="B136" s="15" t="str">
        <f aca="false">Raw_Data!C136</f>
        <v>Singapore Equities</v>
      </c>
      <c r="C136" s="11" t="str">
        <f aca="false">IFERROR(INDEX(Thresholds!$A$2:$A$5,MATCH(TRIM(Raw_Data!D136),Thresholds!$A$2:$A$5,0)),"UNMAPPED")</f>
        <v>Equity</v>
      </c>
      <c r="D136" s="16" t="n">
        <f aca="false">Raw_Data!G136</f>
        <v>42924</v>
      </c>
      <c r="E136" s="17" t="n">
        <f aca="false">Raw_Data!H136</f>
        <v>135.11</v>
      </c>
      <c r="F136" s="14" t="n">
        <f aca="false">IF(Raw_Data!I136="","",Raw_Data!I136)</f>
        <v>134.96</v>
      </c>
      <c r="G136" s="18" t="n">
        <f aca="false">IF(F136="","",(E136-F136)/F136)</f>
        <v>0.00111144042679317</v>
      </c>
      <c r="H136" s="19" t="n">
        <f aca="false">IFERROR(INDEX(Thresholds!$B$2:$B$5,MATCH(C136,Thresholds!$A$2:$A$5,0)),"")</f>
        <v>0.01</v>
      </c>
      <c r="I136" s="20" t="n">
        <f aca="false">IF(F136="","",D136*(E136-F136))</f>
        <v>6438.60000000024</v>
      </c>
      <c r="J136" s="11" t="str">
        <f aca="false">IF(C136="UNMAPPED","UNMAPPED ASSET CLASS",IF(F136="","NO INDEPENDENT PRICE",IF(ABS(G136)&gt;H136,"BREACH","OK")))</f>
        <v>OK</v>
      </c>
      <c r="K136" s="11" t="str">
        <f aca="false">IF(COUNTIF(Raw_Data!$A$2:A136,Raw_Data!A136)&gt;1,"DUP","UNIQUE")</f>
        <v>UNIQUE</v>
      </c>
      <c r="L136" s="11" t="str">
        <f aca="false">IF(Raw_Data!B136&lt;&gt;Thresholds!$E$1,"STALE","CURRENT")</f>
        <v>CURRENT</v>
      </c>
    </row>
    <row r="137" customFormat="false" ht="15" hidden="false" customHeight="false" outlineLevel="0" collapsed="false">
      <c r="A137" s="15" t="str">
        <f aca="false">Raw_Data!A137</f>
        <v>P0135</v>
      </c>
      <c r="B137" s="15" t="str">
        <f aca="false">Raw_Data!C137</f>
        <v>Zurich Equities</v>
      </c>
      <c r="C137" s="11" t="str">
        <f aca="false">IFERROR(INDEX(Thresholds!$A$2:$A$5,MATCH(TRIM(Raw_Data!D137),Thresholds!$A$2:$A$5,0)),"UNMAPPED")</f>
        <v>Equity</v>
      </c>
      <c r="D137" s="16" t="n">
        <f aca="false">Raw_Data!G137</f>
        <v>4901</v>
      </c>
      <c r="E137" s="17" t="n">
        <f aca="false">Raw_Data!H137</f>
        <v>148.32</v>
      </c>
      <c r="F137" s="14" t="n">
        <f aca="false">IF(Raw_Data!I137="","",Raw_Data!I137)</f>
        <v>145.89</v>
      </c>
      <c r="G137" s="18" t="n">
        <f aca="false">IF(F137="","",(E137-F137)/F137)</f>
        <v>0.0166563849475633</v>
      </c>
      <c r="H137" s="19" t="n">
        <f aca="false">IFERROR(INDEX(Thresholds!$B$2:$B$5,MATCH(C137,Thresholds!$A$2:$A$5,0)),"")</f>
        <v>0.01</v>
      </c>
      <c r="I137" s="20" t="n">
        <f aca="false">IF(F137="","",D137*(E137-F137))</f>
        <v>11909.43</v>
      </c>
      <c r="J137" s="11" t="str">
        <f aca="false">IF(C137="UNMAPPED","UNMAPPED ASSET CLASS",IF(F137="","NO INDEPENDENT PRICE",IF(ABS(G137)&gt;H137,"BREACH","OK")))</f>
        <v>BREACH</v>
      </c>
      <c r="K137" s="11" t="str">
        <f aca="false">IF(COUNTIF(Raw_Data!$A$2:A137,Raw_Data!A137)&gt;1,"DUP","UNIQUE")</f>
        <v>UNIQUE</v>
      </c>
      <c r="L137" s="11" t="str">
        <f aca="false">IF(Raw_Data!B137&lt;&gt;Thresholds!$E$1,"STALE","CURRENT")</f>
        <v>CURRENT</v>
      </c>
    </row>
    <row r="138" customFormat="false" ht="15" hidden="false" customHeight="false" outlineLevel="0" collapsed="false">
      <c r="A138" s="15" t="str">
        <f aca="false">Raw_Data!A138</f>
        <v>P0136</v>
      </c>
      <c r="B138" s="15" t="str">
        <f aca="false">Raw_Data!C138</f>
        <v>Zurich FX</v>
      </c>
      <c r="C138" s="11" t="str">
        <f aca="false">IFERROR(INDEX(Thresholds!$A$2:$A$5,MATCH(TRIM(Raw_Data!D138),Thresholds!$A$2:$A$5,0)),"UNMAPPED")</f>
        <v>FX Forward</v>
      </c>
      <c r="D138" s="16" t="n">
        <f aca="false">Raw_Data!G138</f>
        <v>2609487</v>
      </c>
      <c r="E138" s="17" t="n">
        <f aca="false">Raw_Data!H138</f>
        <v>0.67386</v>
      </c>
      <c r="F138" s="14" t="n">
        <f aca="false">IF(Raw_Data!I138="","",Raw_Data!I138)</f>
        <v>0.67105</v>
      </c>
      <c r="G138" s="18" t="n">
        <f aca="false">IF(F138="","",(E138-F138)/F138)</f>
        <v>0.00418746740183292</v>
      </c>
      <c r="H138" s="19" t="n">
        <f aca="false">IFERROR(INDEX(Thresholds!$B$2:$B$5,MATCH(C138,Thresholds!$A$2:$A$5,0)),"")</f>
        <v>0.003</v>
      </c>
      <c r="I138" s="20" t="n">
        <f aca="false">IF(F138="","",D138*(E138-F138))</f>
        <v>7332.65846999995</v>
      </c>
      <c r="J138" s="11" t="str">
        <f aca="false">IF(C138="UNMAPPED","UNMAPPED ASSET CLASS",IF(F138="","NO INDEPENDENT PRICE",IF(ABS(G138)&gt;H138,"BREACH","OK")))</f>
        <v>BREACH</v>
      </c>
      <c r="K138" s="11" t="str">
        <f aca="false">IF(COUNTIF(Raw_Data!$A$2:A138,Raw_Data!A138)&gt;1,"DUP","UNIQUE")</f>
        <v>UNIQUE</v>
      </c>
      <c r="L138" s="11" t="str">
        <f aca="false">IF(Raw_Data!B138&lt;&gt;Thresholds!$E$1,"STALE","CURRENT")</f>
        <v>CURRENT</v>
      </c>
    </row>
    <row r="139" customFormat="false" ht="15" hidden="false" customHeight="false" outlineLevel="0" collapsed="false">
      <c r="A139" s="15" t="str">
        <f aca="false">Raw_Data!A139</f>
        <v>P0137</v>
      </c>
      <c r="B139" s="15" t="str">
        <f aca="false">Raw_Data!C139</f>
        <v>Zurich Equities</v>
      </c>
      <c r="C139" s="11" t="str">
        <f aca="false">IFERROR(INDEX(Thresholds!$A$2:$A$5,MATCH(TRIM(Raw_Data!D139),Thresholds!$A$2:$A$5,0)),"UNMAPPED")</f>
        <v>Equity</v>
      </c>
      <c r="D139" s="16" t="n">
        <f aca="false">Raw_Data!G139</f>
        <v>16143</v>
      </c>
      <c r="E139" s="17" t="n">
        <f aca="false">Raw_Data!H139</f>
        <v>169.56</v>
      </c>
      <c r="F139" s="14" t="n">
        <f aca="false">IF(Raw_Data!I139="","",Raw_Data!I139)</f>
        <v>169.86</v>
      </c>
      <c r="G139" s="18" t="n">
        <f aca="false">IF(F139="","",(E139-F139)/F139)</f>
        <v>-0.00176616036736142</v>
      </c>
      <c r="H139" s="19" t="n">
        <f aca="false">IFERROR(INDEX(Thresholds!$B$2:$B$5,MATCH(C139,Thresholds!$A$2:$A$5,0)),"")</f>
        <v>0.01</v>
      </c>
      <c r="I139" s="20" t="n">
        <f aca="false">IF(F139="","",D139*(E139-F139))</f>
        <v>-4842.90000000018</v>
      </c>
      <c r="J139" s="11" t="str">
        <f aca="false">IF(C139="UNMAPPED","UNMAPPED ASSET CLASS",IF(F139="","NO INDEPENDENT PRICE",IF(ABS(G139)&gt;H139,"BREACH","OK")))</f>
        <v>OK</v>
      </c>
      <c r="K139" s="11" t="str">
        <f aca="false">IF(COUNTIF(Raw_Data!$A$2:A139,Raw_Data!A139)&gt;1,"DUP","UNIQUE")</f>
        <v>UNIQUE</v>
      </c>
      <c r="L139" s="11" t="str">
        <f aca="false">IF(Raw_Data!B139&lt;&gt;Thresholds!$E$1,"STALE","CURRENT")</f>
        <v>CURRENT</v>
      </c>
    </row>
    <row r="140" customFormat="false" ht="15" hidden="false" customHeight="false" outlineLevel="0" collapsed="false">
      <c r="A140" s="15" t="str">
        <f aca="false">Raw_Data!A140</f>
        <v>P0138</v>
      </c>
      <c r="B140" s="15" t="str">
        <f aca="false">Raw_Data!C140</f>
        <v>London Credit</v>
      </c>
      <c r="C140" s="11" t="str">
        <f aca="false">IFERROR(INDEX(Thresholds!$A$2:$A$5,MATCH(TRIM(Raw_Data!D140),Thresholds!$A$2:$A$5,0)),"UNMAPPED")</f>
        <v>Corporate Bond</v>
      </c>
      <c r="D140" s="16" t="n">
        <f aca="false">Raw_Data!G140</f>
        <v>4542</v>
      </c>
      <c r="E140" s="17" t="n">
        <f aca="false">Raw_Data!H140</f>
        <v>104.598</v>
      </c>
      <c r="F140" s="14" t="n">
        <f aca="false">IF(Raw_Data!I140="","",Raw_Data!I140)</f>
        <v>104.959</v>
      </c>
      <c r="G140" s="18" t="n">
        <f aca="false">IF(F140="","",(E140-F140)/F140)</f>
        <v>-0.00343943825684319</v>
      </c>
      <c r="H140" s="19" t="n">
        <f aca="false">IFERROR(INDEX(Thresholds!$B$2:$B$5,MATCH(C140,Thresholds!$A$2:$A$5,0)),"")</f>
        <v>0.005</v>
      </c>
      <c r="I140" s="20" t="n">
        <f aca="false">IF(F140="","",D140*(E140-F140))</f>
        <v>-1639.66200000002</v>
      </c>
      <c r="J140" s="11" t="str">
        <f aca="false">IF(C140="UNMAPPED","UNMAPPED ASSET CLASS",IF(F140="","NO INDEPENDENT PRICE",IF(ABS(G140)&gt;H140,"BREACH","OK")))</f>
        <v>OK</v>
      </c>
      <c r="K140" s="11" t="str">
        <f aca="false">IF(COUNTIF(Raw_Data!$A$2:A140,Raw_Data!A140)&gt;1,"DUP","UNIQUE")</f>
        <v>UNIQUE</v>
      </c>
      <c r="L140" s="11" t="str">
        <f aca="false">IF(Raw_Data!B140&lt;&gt;Thresholds!$E$1,"STALE","CURRENT")</f>
        <v>CURRENT</v>
      </c>
    </row>
    <row r="141" customFormat="false" ht="15" hidden="false" customHeight="false" outlineLevel="0" collapsed="false">
      <c r="A141" s="15" t="str">
        <f aca="false">Raw_Data!A141</f>
        <v>P0139</v>
      </c>
      <c r="B141" s="15" t="str">
        <f aca="false">Raw_Data!C141</f>
        <v>London Credit</v>
      </c>
      <c r="C141" s="11" t="str">
        <f aca="false">IFERROR(INDEX(Thresholds!$A$2:$A$5,MATCH(TRIM(Raw_Data!D141),Thresholds!$A$2:$A$5,0)),"UNMAPPED")</f>
        <v>Corporate Bond</v>
      </c>
      <c r="D141" s="16" t="n">
        <f aca="false">Raw_Data!G141</f>
        <v>9396</v>
      </c>
      <c r="E141" s="17" t="n">
        <f aca="false">Raw_Data!H141</f>
        <v>99.441</v>
      </c>
      <c r="F141" s="14" t="n">
        <f aca="false">IF(Raw_Data!I141="","",Raw_Data!I141)</f>
        <v>99.161</v>
      </c>
      <c r="G141" s="18" t="n">
        <f aca="false">IF(F141="","",(E141-F141)/F141)</f>
        <v>0.00282369076552275</v>
      </c>
      <c r="H141" s="19" t="n">
        <f aca="false">IFERROR(INDEX(Thresholds!$B$2:$B$5,MATCH(C141,Thresholds!$A$2:$A$5,0)),"")</f>
        <v>0.005</v>
      </c>
      <c r="I141" s="20" t="n">
        <f aca="false">IF(F141="","",D141*(E141-F141))</f>
        <v>2630.88000000001</v>
      </c>
      <c r="J141" s="11" t="str">
        <f aca="false">IF(C141="UNMAPPED","UNMAPPED ASSET CLASS",IF(F141="","NO INDEPENDENT PRICE",IF(ABS(G141)&gt;H141,"BREACH","OK")))</f>
        <v>OK</v>
      </c>
      <c r="K141" s="11" t="str">
        <f aca="false">IF(COUNTIF(Raw_Data!$A$2:A141,Raw_Data!A141)&gt;1,"DUP","UNIQUE")</f>
        <v>UNIQUE</v>
      </c>
      <c r="L141" s="11" t="str">
        <f aca="false">IF(Raw_Data!B141&lt;&gt;Thresholds!$E$1,"STALE","CURRENT")</f>
        <v>CURRENT</v>
      </c>
    </row>
    <row r="142" customFormat="false" ht="15" hidden="false" customHeight="false" outlineLevel="0" collapsed="false">
      <c r="A142" s="15" t="str">
        <f aca="false">Raw_Data!A142</f>
        <v>P0140</v>
      </c>
      <c r="B142" s="15" t="str">
        <f aca="false">Raw_Data!C142</f>
        <v>New York Rates</v>
      </c>
      <c r="C142" s="11" t="str">
        <f aca="false">IFERROR(INDEX(Thresholds!$A$2:$A$5,MATCH(TRIM(Raw_Data!D142),Thresholds!$A$2:$A$5,0)),"UNMAPPED")</f>
        <v>Government Bond</v>
      </c>
      <c r="D142" s="16" t="n">
        <f aca="false">Raw_Data!G142</f>
        <v>14764</v>
      </c>
      <c r="E142" s="17" t="n">
        <f aca="false">Raw_Data!H142</f>
        <v>96.101</v>
      </c>
      <c r="F142" s="14" t="n">
        <f aca="false">IF(Raw_Data!I142="","",Raw_Data!I142)</f>
        <v>96.061</v>
      </c>
      <c r="G142" s="18" t="n">
        <f aca="false">IF(F142="","",(E142-F142)/F142)</f>
        <v>0.000416402077846286</v>
      </c>
      <c r="H142" s="19" t="n">
        <f aca="false">IFERROR(INDEX(Thresholds!$B$2:$B$5,MATCH(C142,Thresholds!$A$2:$A$5,0)),"")</f>
        <v>0.0025</v>
      </c>
      <c r="I142" s="20" t="n">
        <f aca="false">IF(F142="","",D142*(E142-F142))</f>
        <v>590.559999999883</v>
      </c>
      <c r="J142" s="11" t="str">
        <f aca="false">IF(C142="UNMAPPED","UNMAPPED ASSET CLASS",IF(F142="","NO INDEPENDENT PRICE",IF(ABS(G142)&gt;H142,"BREACH","OK")))</f>
        <v>OK</v>
      </c>
      <c r="K142" s="11" t="str">
        <f aca="false">IF(COUNTIF(Raw_Data!$A$2:A142,Raw_Data!A142)&gt;1,"DUP","UNIQUE")</f>
        <v>UNIQUE</v>
      </c>
      <c r="L142" s="11" t="str">
        <f aca="false">IF(Raw_Data!B142&lt;&gt;Thresholds!$E$1,"STALE","CURRENT")</f>
        <v>CURRENT</v>
      </c>
    </row>
    <row r="143" customFormat="false" ht="15" hidden="false" customHeight="false" outlineLevel="0" collapsed="false">
      <c r="A143" s="15" t="str">
        <f aca="false">Raw_Data!A143</f>
        <v>P0141</v>
      </c>
      <c r="B143" s="15" t="str">
        <f aca="false">Raw_Data!C143</f>
        <v>New York Credit</v>
      </c>
      <c r="C143" s="11" t="str">
        <f aca="false">IFERROR(INDEX(Thresholds!$A$2:$A$5,MATCH(TRIM(Raw_Data!D143),Thresholds!$A$2:$A$5,0)),"UNMAPPED")</f>
        <v>Corporate Bond</v>
      </c>
      <c r="D143" s="16" t="n">
        <f aca="false">Raw_Data!G143</f>
        <v>16083</v>
      </c>
      <c r="E143" s="17" t="n">
        <f aca="false">Raw_Data!H143</f>
        <v>105.955</v>
      </c>
      <c r="F143" s="14" t="n">
        <f aca="false">IF(Raw_Data!I143="","",Raw_Data!I143)</f>
        <v>105.837</v>
      </c>
      <c r="G143" s="18" t="n">
        <f aca="false">IF(F143="","",(E143-F143)/F143)</f>
        <v>0.00111492200270222</v>
      </c>
      <c r="H143" s="19" t="n">
        <f aca="false">IFERROR(INDEX(Thresholds!$B$2:$B$5,MATCH(C143,Thresholds!$A$2:$A$5,0)),"")</f>
        <v>0.005</v>
      </c>
      <c r="I143" s="20" t="n">
        <f aca="false">IF(F143="","",D143*(E143-F143))</f>
        <v>1897.79399999992</v>
      </c>
      <c r="J143" s="11" t="str">
        <f aca="false">IF(C143="UNMAPPED","UNMAPPED ASSET CLASS",IF(F143="","NO INDEPENDENT PRICE",IF(ABS(G143)&gt;H143,"BREACH","OK")))</f>
        <v>OK</v>
      </c>
      <c r="K143" s="11" t="str">
        <f aca="false">IF(COUNTIF(Raw_Data!$A$2:A143,Raw_Data!A143)&gt;1,"DUP","UNIQUE")</f>
        <v>UNIQUE</v>
      </c>
      <c r="L143" s="11" t="str">
        <f aca="false">IF(Raw_Data!B143&lt;&gt;Thresholds!$E$1,"STALE","CURRENT")</f>
        <v>CURRENT</v>
      </c>
    </row>
    <row r="144" customFormat="false" ht="15" hidden="false" customHeight="false" outlineLevel="0" collapsed="false">
      <c r="A144" s="15" t="str">
        <f aca="false">Raw_Data!A144</f>
        <v>P0142</v>
      </c>
      <c r="B144" s="15" t="str">
        <f aca="false">Raw_Data!C144</f>
        <v>London Rates</v>
      </c>
      <c r="C144" s="11" t="str">
        <f aca="false">IFERROR(INDEX(Thresholds!$A$2:$A$5,MATCH(TRIM(Raw_Data!D144),Thresholds!$A$2:$A$5,0)),"UNMAPPED")</f>
        <v>Government Bond</v>
      </c>
      <c r="D144" s="16" t="n">
        <f aca="false">Raw_Data!G144</f>
        <v>9465</v>
      </c>
      <c r="E144" s="17" t="n">
        <f aca="false">Raw_Data!H144</f>
        <v>98.839</v>
      </c>
      <c r="F144" s="14" t="n">
        <f aca="false">IF(Raw_Data!I144="","",Raw_Data!I144)</f>
        <v>98.836</v>
      </c>
      <c r="G144" s="18" t="n">
        <f aca="false">IF(F144="","",(E144-F144)/F144)</f>
        <v>3.03533125581783E-005</v>
      </c>
      <c r="H144" s="19" t="n">
        <f aca="false">IFERROR(INDEX(Thresholds!$B$2:$B$5,MATCH(C144,Thresholds!$A$2:$A$5,0)),"")</f>
        <v>0.0025</v>
      </c>
      <c r="I144" s="20" t="n">
        <f aca="false">IF(F144="","",D144*(E144-F144))</f>
        <v>28.3950000000011</v>
      </c>
      <c r="J144" s="11" t="str">
        <f aca="false">IF(C144="UNMAPPED","UNMAPPED ASSET CLASS",IF(F144="","NO INDEPENDENT PRICE",IF(ABS(G144)&gt;H144,"BREACH","OK")))</f>
        <v>OK</v>
      </c>
      <c r="K144" s="11" t="str">
        <f aca="false">IF(COUNTIF(Raw_Data!$A$2:A144,Raw_Data!A144)&gt;1,"DUP","UNIQUE")</f>
        <v>UNIQUE</v>
      </c>
      <c r="L144" s="11" t="str">
        <f aca="false">IF(Raw_Data!B144&lt;&gt;Thresholds!$E$1,"STALE","CURRENT")</f>
        <v>CURRENT</v>
      </c>
    </row>
    <row r="145" customFormat="false" ht="15" hidden="false" customHeight="false" outlineLevel="0" collapsed="false">
      <c r="A145" s="15" t="str">
        <f aca="false">Raw_Data!A145</f>
        <v>P0143</v>
      </c>
      <c r="B145" s="15" t="str">
        <f aca="false">Raw_Data!C145</f>
        <v>London Rates</v>
      </c>
      <c r="C145" s="11" t="str">
        <f aca="false">IFERROR(INDEX(Thresholds!$A$2:$A$5,MATCH(TRIM(Raw_Data!D145),Thresholds!$A$2:$A$5,0)),"UNMAPPED")</f>
        <v>Government Bond</v>
      </c>
      <c r="D145" s="16" t="n">
        <f aca="false">Raw_Data!G145</f>
        <v>2756</v>
      </c>
      <c r="E145" s="17" t="n">
        <f aca="false">Raw_Data!H145</f>
        <v>102.577</v>
      </c>
      <c r="F145" s="14" t="n">
        <f aca="false">IF(Raw_Data!I145="","",Raw_Data!I145)</f>
        <v>102.61</v>
      </c>
      <c r="G145" s="18" t="n">
        <f aca="false">IF(F145="","",(E145-F145)/F145)</f>
        <v>-0.00032160608127864</v>
      </c>
      <c r="H145" s="19" t="n">
        <f aca="false">IFERROR(INDEX(Thresholds!$B$2:$B$5,MATCH(C145,Thresholds!$A$2:$A$5,0)),"")</f>
        <v>0.0025</v>
      </c>
      <c r="I145" s="20" t="n">
        <f aca="false">IF(F145="","",D145*(E145-F145))</f>
        <v>-90.9480000000035</v>
      </c>
      <c r="J145" s="11" t="str">
        <f aca="false">IF(C145="UNMAPPED","UNMAPPED ASSET CLASS",IF(F145="","NO INDEPENDENT PRICE",IF(ABS(G145)&gt;H145,"BREACH","OK")))</f>
        <v>OK</v>
      </c>
      <c r="K145" s="11" t="str">
        <f aca="false">IF(COUNTIF(Raw_Data!$A$2:A145,Raw_Data!A145)&gt;1,"DUP","UNIQUE")</f>
        <v>UNIQUE</v>
      </c>
      <c r="L145" s="11" t="str">
        <f aca="false">IF(Raw_Data!B145&lt;&gt;Thresholds!$E$1,"STALE","CURRENT")</f>
        <v>CURRENT</v>
      </c>
    </row>
    <row r="146" customFormat="false" ht="15" hidden="false" customHeight="false" outlineLevel="0" collapsed="false">
      <c r="A146" s="15" t="str">
        <f aca="false">Raw_Data!A146</f>
        <v>P0144</v>
      </c>
      <c r="B146" s="15" t="str">
        <f aca="false">Raw_Data!C146</f>
        <v>London Credit</v>
      </c>
      <c r="C146" s="11" t="str">
        <f aca="false">IFERROR(INDEX(Thresholds!$A$2:$A$5,MATCH(TRIM(Raw_Data!D146),Thresholds!$A$2:$A$5,0)),"UNMAPPED")</f>
        <v>Corporate Bond</v>
      </c>
      <c r="D146" s="16" t="n">
        <f aca="false">Raw_Data!G146</f>
        <v>2514</v>
      </c>
      <c r="E146" s="17" t="n">
        <f aca="false">Raw_Data!H146</f>
        <v>94.358</v>
      </c>
      <c r="F146" s="14" t="n">
        <f aca="false">IF(Raw_Data!I146="","",Raw_Data!I146)</f>
        <v>94.712</v>
      </c>
      <c r="G146" s="18" t="n">
        <f aca="false">IF(F146="","",(E146-F146)/F146)</f>
        <v>-0.00373764676070613</v>
      </c>
      <c r="H146" s="19" t="n">
        <f aca="false">IFERROR(INDEX(Thresholds!$B$2:$B$5,MATCH(C146,Thresholds!$A$2:$A$5,0)),"")</f>
        <v>0.005</v>
      </c>
      <c r="I146" s="20" t="n">
        <f aca="false">IF(F146="","",D146*(E146-F146))</f>
        <v>-889.955999999998</v>
      </c>
      <c r="J146" s="11" t="str">
        <f aca="false">IF(C146="UNMAPPED","UNMAPPED ASSET CLASS",IF(F146="","NO INDEPENDENT PRICE",IF(ABS(G146)&gt;H146,"BREACH","OK")))</f>
        <v>OK</v>
      </c>
      <c r="K146" s="11" t="str">
        <f aca="false">IF(COUNTIF(Raw_Data!$A$2:A146,Raw_Data!A146)&gt;1,"DUP","UNIQUE")</f>
        <v>UNIQUE</v>
      </c>
      <c r="L146" s="11" t="str">
        <f aca="false">IF(Raw_Data!B146&lt;&gt;Thresholds!$E$1,"STALE","CURRENT")</f>
        <v>CURRENT</v>
      </c>
    </row>
    <row r="147" customFormat="false" ht="15" hidden="false" customHeight="false" outlineLevel="0" collapsed="false">
      <c r="A147" s="15" t="str">
        <f aca="false">Raw_Data!A147</f>
        <v>P0145</v>
      </c>
      <c r="B147" s="15" t="str">
        <f aca="false">Raw_Data!C147</f>
        <v>Singapore Equities</v>
      </c>
      <c r="C147" s="11" t="str">
        <f aca="false">IFERROR(INDEX(Thresholds!$A$2:$A$5,MATCH(TRIM(Raw_Data!D147),Thresholds!$A$2:$A$5,0)),"UNMAPPED")</f>
        <v>Equity</v>
      </c>
      <c r="D147" s="16" t="n">
        <f aca="false">Raw_Data!G147</f>
        <v>14108</v>
      </c>
      <c r="E147" s="17" t="n">
        <f aca="false">Raw_Data!H147</f>
        <v>155.98</v>
      </c>
      <c r="F147" s="14" t="n">
        <f aca="false">IF(Raw_Data!I147="","",Raw_Data!I147)</f>
        <v>156.66</v>
      </c>
      <c r="G147" s="18" t="n">
        <f aca="false">IF(F147="","",(E147-F147)/F147)</f>
        <v>-0.00434061023873361</v>
      </c>
      <c r="H147" s="19" t="n">
        <f aca="false">IFERROR(INDEX(Thresholds!$B$2:$B$5,MATCH(C147,Thresholds!$A$2:$A$5,0)),"")</f>
        <v>0.01</v>
      </c>
      <c r="I147" s="20" t="n">
        <f aca="false">IF(F147="","",D147*(E147-F147))</f>
        <v>-9593.4400000001</v>
      </c>
      <c r="J147" s="11" t="str">
        <f aca="false">IF(C147="UNMAPPED","UNMAPPED ASSET CLASS",IF(F147="","NO INDEPENDENT PRICE",IF(ABS(G147)&gt;H147,"BREACH","OK")))</f>
        <v>OK</v>
      </c>
      <c r="K147" s="11" t="str">
        <f aca="false">IF(COUNTIF(Raw_Data!$A$2:A147,Raw_Data!A147)&gt;1,"DUP","UNIQUE")</f>
        <v>UNIQUE</v>
      </c>
      <c r="L147" s="11" t="str">
        <f aca="false">IF(Raw_Data!B147&lt;&gt;Thresholds!$E$1,"STALE","CURRENT")</f>
        <v>CURRENT</v>
      </c>
    </row>
    <row r="148" customFormat="false" ht="15" hidden="false" customHeight="false" outlineLevel="0" collapsed="false">
      <c r="A148" s="15" t="str">
        <f aca="false">Raw_Data!A148</f>
        <v>P0146</v>
      </c>
      <c r="B148" s="15" t="str">
        <f aca="false">Raw_Data!C148</f>
        <v>New York Rates</v>
      </c>
      <c r="C148" s="11" t="str">
        <f aca="false">IFERROR(INDEX(Thresholds!$A$2:$A$5,MATCH(TRIM(Raw_Data!D148),Thresholds!$A$2:$A$5,0)),"UNMAPPED")</f>
        <v>Government Bond</v>
      </c>
      <c r="D148" s="16" t="n">
        <f aca="false">Raw_Data!G148</f>
        <v>2683</v>
      </c>
      <c r="E148" s="17" t="n">
        <f aca="false">Raw_Data!H148</f>
        <v>99.755</v>
      </c>
      <c r="F148" s="14" t="n">
        <f aca="false">IF(Raw_Data!I148="","",Raw_Data!I148)</f>
        <v>99.814</v>
      </c>
      <c r="G148" s="18" t="n">
        <f aca="false">IF(F148="","",(E148-F148)/F148)</f>
        <v>-0.000591099444967615</v>
      </c>
      <c r="H148" s="19" t="n">
        <f aca="false">IFERROR(INDEX(Thresholds!$B$2:$B$5,MATCH(C148,Thresholds!$A$2:$A$5,0)),"")</f>
        <v>0.0025</v>
      </c>
      <c r="I148" s="20" t="n">
        <f aca="false">IF(F148="","",D148*(E148-F148))</f>
        <v>-158.296999999993</v>
      </c>
      <c r="J148" s="11" t="str">
        <f aca="false">IF(C148="UNMAPPED","UNMAPPED ASSET CLASS",IF(F148="","NO INDEPENDENT PRICE",IF(ABS(G148)&gt;H148,"BREACH","OK")))</f>
        <v>OK</v>
      </c>
      <c r="K148" s="11" t="str">
        <f aca="false">IF(COUNTIF(Raw_Data!$A$2:A148,Raw_Data!A148)&gt;1,"DUP","UNIQUE")</f>
        <v>UNIQUE</v>
      </c>
      <c r="L148" s="11" t="str">
        <f aca="false">IF(Raw_Data!B148&lt;&gt;Thresholds!$E$1,"STALE","CURRENT")</f>
        <v>CURRENT</v>
      </c>
    </row>
    <row r="149" customFormat="false" ht="15" hidden="false" customHeight="false" outlineLevel="0" collapsed="false">
      <c r="A149" s="15" t="str">
        <f aca="false">Raw_Data!A149</f>
        <v>P0147</v>
      </c>
      <c r="B149" s="15" t="str">
        <f aca="false">Raw_Data!C149</f>
        <v>Singapore FX</v>
      </c>
      <c r="C149" s="11" t="str">
        <f aca="false">IFERROR(INDEX(Thresholds!$A$2:$A$5,MATCH(TRIM(Raw_Data!D149),Thresholds!$A$2:$A$5,0)),"UNMAPPED")</f>
        <v>FX Forward</v>
      </c>
      <c r="D149" s="16" t="n">
        <f aca="false">Raw_Data!G149</f>
        <v>2030372</v>
      </c>
      <c r="E149" s="17" t="n">
        <f aca="false">Raw_Data!H149</f>
        <v>1.43284</v>
      </c>
      <c r="F149" s="14" t="n">
        <f aca="false">IF(Raw_Data!I149="","",Raw_Data!I149)</f>
        <v>1.4298</v>
      </c>
      <c r="G149" s="18" t="n">
        <f aca="false">IF(F149="","",(E149-F149)/F149)</f>
        <v>0.00212617149251639</v>
      </c>
      <c r="H149" s="19" t="n">
        <f aca="false">IFERROR(INDEX(Thresholds!$B$2:$B$5,MATCH(C149,Thresholds!$A$2:$A$5,0)),"")</f>
        <v>0.003</v>
      </c>
      <c r="I149" s="20" t="n">
        <f aca="false">IF(F149="","",D149*(E149-F149))</f>
        <v>6172.33087999986</v>
      </c>
      <c r="J149" s="11" t="str">
        <f aca="false">IF(C149="UNMAPPED","UNMAPPED ASSET CLASS",IF(F149="","NO INDEPENDENT PRICE",IF(ABS(G149)&gt;H149,"BREACH","OK")))</f>
        <v>OK</v>
      </c>
      <c r="K149" s="11" t="str">
        <f aca="false">IF(COUNTIF(Raw_Data!$A$2:A149,Raw_Data!A149)&gt;1,"DUP","UNIQUE")</f>
        <v>UNIQUE</v>
      </c>
      <c r="L149" s="11" t="str">
        <f aca="false">IF(Raw_Data!B149&lt;&gt;Thresholds!$E$1,"STALE","CURRENT")</f>
        <v>CURRENT</v>
      </c>
    </row>
    <row r="150" customFormat="false" ht="15" hidden="false" customHeight="false" outlineLevel="0" collapsed="false">
      <c r="A150" s="15" t="str">
        <f aca="false">Raw_Data!A150</f>
        <v>P0148</v>
      </c>
      <c r="B150" s="15" t="str">
        <f aca="false">Raw_Data!C150</f>
        <v>Zurich Equities</v>
      </c>
      <c r="C150" s="11" t="str">
        <f aca="false">IFERROR(INDEX(Thresholds!$A$2:$A$5,MATCH(TRIM(Raw_Data!D150),Thresholds!$A$2:$A$5,0)),"UNMAPPED")</f>
        <v>Equity</v>
      </c>
      <c r="D150" s="16" t="n">
        <f aca="false">Raw_Data!G150</f>
        <v>8780</v>
      </c>
      <c r="E150" s="17" t="n">
        <f aca="false">Raw_Data!H150</f>
        <v>161.65</v>
      </c>
      <c r="F150" s="14" t="str">
        <f aca="false">IF(Raw_Data!I150="","",Raw_Data!I150)</f>
        <v/>
      </c>
      <c r="G150" s="18" t="str">
        <f aca="false">IF(F150="","",(E150-F150)/F150)</f>
        <v/>
      </c>
      <c r="H150" s="19" t="n">
        <f aca="false">IFERROR(INDEX(Thresholds!$B$2:$B$5,MATCH(C150,Thresholds!$A$2:$A$5,0)),"")</f>
        <v>0.01</v>
      </c>
      <c r="I150" s="20" t="str">
        <f aca="false">IF(F150="","",D150*(E150-F150))</f>
        <v/>
      </c>
      <c r="J150" s="11" t="str">
        <f aca="false">IF(C150="UNMAPPED","UNMAPPED ASSET CLASS",IF(F150="","NO INDEPENDENT PRICE",IF(ABS(G150)&gt;H150,"BREACH","OK")))</f>
        <v>NO INDEPENDENT PRICE</v>
      </c>
      <c r="K150" s="11" t="str">
        <f aca="false">IF(COUNTIF(Raw_Data!$A$2:A150,Raw_Data!A150)&gt;1,"DUP","UNIQUE")</f>
        <v>UNIQUE</v>
      </c>
      <c r="L150" s="11" t="str">
        <f aca="false">IF(Raw_Data!B150&lt;&gt;Thresholds!$E$1,"STALE","CURRENT")</f>
        <v>CURRENT</v>
      </c>
    </row>
    <row r="151" customFormat="false" ht="15" hidden="false" customHeight="false" outlineLevel="0" collapsed="false">
      <c r="A151" s="15" t="str">
        <f aca="false">Raw_Data!A151</f>
        <v>P0149</v>
      </c>
      <c r="B151" s="15" t="str">
        <f aca="false">Raw_Data!C151</f>
        <v>New York Rates</v>
      </c>
      <c r="C151" s="11" t="str">
        <f aca="false">IFERROR(INDEX(Thresholds!$A$2:$A$5,MATCH(TRIM(Raw_Data!D151),Thresholds!$A$2:$A$5,0)),"UNMAPPED")</f>
        <v>Government Bond</v>
      </c>
      <c r="D151" s="16" t="n">
        <f aca="false">Raw_Data!G151</f>
        <v>11339</v>
      </c>
      <c r="E151" s="17" t="n">
        <f aca="false">Raw_Data!H151</f>
        <v>98.453</v>
      </c>
      <c r="F151" s="14" t="n">
        <f aca="false">IF(Raw_Data!I151="","",Raw_Data!I151)</f>
        <v>98.434</v>
      </c>
      <c r="G151" s="18" t="n">
        <f aca="false">IF(F151="","",(E151-F151)/F151)</f>
        <v>0.000193022736046543</v>
      </c>
      <c r="H151" s="19" t="n">
        <f aca="false">IFERROR(INDEX(Thresholds!$B$2:$B$5,MATCH(C151,Thresholds!$A$2:$A$5,0)),"")</f>
        <v>0.0025</v>
      </c>
      <c r="I151" s="20" t="n">
        <f aca="false">IF(F151="","",D151*(E151-F151))</f>
        <v>215.441000000062</v>
      </c>
      <c r="J151" s="11" t="str">
        <f aca="false">IF(C151="UNMAPPED","UNMAPPED ASSET CLASS",IF(F151="","NO INDEPENDENT PRICE",IF(ABS(G151)&gt;H151,"BREACH","OK")))</f>
        <v>OK</v>
      </c>
      <c r="K151" s="11" t="str">
        <f aca="false">IF(COUNTIF(Raw_Data!$A$2:A151,Raw_Data!A151)&gt;1,"DUP","UNIQUE")</f>
        <v>UNIQUE</v>
      </c>
      <c r="L151" s="11" t="str">
        <f aca="false">IF(Raw_Data!B151&lt;&gt;Thresholds!$E$1,"STALE","CURRENT")</f>
        <v>CURRENT</v>
      </c>
    </row>
    <row r="152" customFormat="false" ht="15" hidden="false" customHeight="false" outlineLevel="0" collapsed="false">
      <c r="A152" s="15" t="str">
        <f aca="false">Raw_Data!A152</f>
        <v>P0150</v>
      </c>
      <c r="B152" s="15" t="str">
        <f aca="false">Raw_Data!C152</f>
        <v>New York Credit</v>
      </c>
      <c r="C152" s="11" t="str">
        <f aca="false">IFERROR(INDEX(Thresholds!$A$2:$A$5,MATCH(TRIM(Raw_Data!D152),Thresholds!$A$2:$A$5,0)),"UNMAPPED")</f>
        <v>Corporate Bond</v>
      </c>
      <c r="D152" s="16" t="n">
        <f aca="false">Raw_Data!G152</f>
        <v>10362</v>
      </c>
      <c r="E152" s="17" t="n">
        <f aca="false">Raw_Data!H152</f>
        <v>93.24</v>
      </c>
      <c r="F152" s="14" t="n">
        <f aca="false">IF(Raw_Data!I152="","",Raw_Data!I152)</f>
        <v>93.284</v>
      </c>
      <c r="G152" s="18" t="n">
        <f aca="false">IF(F152="","",(E152-F152)/F152)</f>
        <v>-0.000471677886883186</v>
      </c>
      <c r="H152" s="19" t="n">
        <f aca="false">IFERROR(INDEX(Thresholds!$B$2:$B$5,MATCH(C152,Thresholds!$A$2:$A$5,0)),"")</f>
        <v>0.005</v>
      </c>
      <c r="I152" s="20" t="n">
        <f aca="false">IF(F152="","",D152*(E152-F152))</f>
        <v>-455.928000000115</v>
      </c>
      <c r="J152" s="11" t="str">
        <f aca="false">IF(C152="UNMAPPED","UNMAPPED ASSET CLASS",IF(F152="","NO INDEPENDENT PRICE",IF(ABS(G152)&gt;H152,"BREACH","OK")))</f>
        <v>OK</v>
      </c>
      <c r="K152" s="11" t="str">
        <f aca="false">IF(COUNTIF(Raw_Data!$A$2:A152,Raw_Data!A152)&gt;1,"DUP","UNIQUE")</f>
        <v>UNIQUE</v>
      </c>
      <c r="L152" s="11" t="str">
        <f aca="false">IF(Raw_Data!B152&lt;&gt;Thresholds!$E$1,"STALE","CURRENT")</f>
        <v>CURRENT</v>
      </c>
    </row>
    <row r="153" customFormat="false" ht="15" hidden="false" customHeight="false" outlineLevel="0" collapsed="false">
      <c r="A153" s="15" t="str">
        <f aca="false">Raw_Data!A153</f>
        <v>P0151</v>
      </c>
      <c r="B153" s="15" t="str">
        <f aca="false">Raw_Data!C153</f>
        <v>Zurich Equities</v>
      </c>
      <c r="C153" s="11" t="str">
        <f aca="false">IFERROR(INDEX(Thresholds!$A$2:$A$5,MATCH(TRIM(Raw_Data!D153),Thresholds!$A$2:$A$5,0)),"UNMAPPED")</f>
        <v>Equity</v>
      </c>
      <c r="D153" s="16" t="n">
        <f aca="false">Raw_Data!G153</f>
        <v>27766</v>
      </c>
      <c r="E153" s="17" t="n">
        <f aca="false">Raw_Data!H153</f>
        <v>241.78</v>
      </c>
      <c r="F153" s="14" t="n">
        <f aca="false">IF(Raw_Data!I153="","",Raw_Data!I153)</f>
        <v>241.61</v>
      </c>
      <c r="G153" s="18" t="n">
        <f aca="false">IF(F153="","",(E153-F153)/F153)</f>
        <v>0.000703613261040468</v>
      </c>
      <c r="H153" s="19" t="n">
        <f aca="false">IFERROR(INDEX(Thresholds!$B$2:$B$5,MATCH(C153,Thresholds!$A$2:$A$5,0)),"")</f>
        <v>0.01</v>
      </c>
      <c r="I153" s="20" t="n">
        <f aca="false">IF(F153="","",D153*(E153-F153))</f>
        <v>4720.21999999965</v>
      </c>
      <c r="J153" s="11" t="str">
        <f aca="false">IF(C153="UNMAPPED","UNMAPPED ASSET CLASS",IF(F153="","NO INDEPENDENT PRICE",IF(ABS(G153)&gt;H153,"BREACH","OK")))</f>
        <v>OK</v>
      </c>
      <c r="K153" s="11" t="str">
        <f aca="false">IF(COUNTIF(Raw_Data!$A$2:A153,Raw_Data!A153)&gt;1,"DUP","UNIQUE")</f>
        <v>UNIQUE</v>
      </c>
      <c r="L153" s="11" t="str">
        <f aca="false">IF(Raw_Data!B153&lt;&gt;Thresholds!$E$1,"STALE","CURRENT")</f>
        <v>CURRENT</v>
      </c>
    </row>
    <row r="154" customFormat="false" ht="15" hidden="false" customHeight="false" outlineLevel="0" collapsed="false">
      <c r="A154" s="15" t="str">
        <f aca="false">Raw_Data!A154</f>
        <v>P0152</v>
      </c>
      <c r="B154" s="15" t="str">
        <f aca="false">Raw_Data!C154</f>
        <v>Zurich FX</v>
      </c>
      <c r="C154" s="11" t="str">
        <f aca="false">IFERROR(INDEX(Thresholds!$A$2:$A$5,MATCH(TRIM(Raw_Data!D154),Thresholds!$A$2:$A$5,0)),"UNMAPPED")</f>
        <v>FX Forward</v>
      </c>
      <c r="D154" s="16" t="n">
        <f aca="false">Raw_Data!G154</f>
        <v>2120226</v>
      </c>
      <c r="E154" s="17" t="n">
        <f aca="false">Raw_Data!H154</f>
        <v>0.76998</v>
      </c>
      <c r="F154" s="14" t="n">
        <f aca="false">IF(Raw_Data!I154="","",Raw_Data!I154)</f>
        <v>0.76793</v>
      </c>
      <c r="G154" s="18" t="n">
        <f aca="false">IF(F154="","",(E154-F154)/F154)</f>
        <v>0.00266951414842498</v>
      </c>
      <c r="H154" s="19" t="n">
        <f aca="false">IFERROR(INDEX(Thresholds!$B$2:$B$5,MATCH(C154,Thresholds!$A$2:$A$5,0)),"")</f>
        <v>0.003</v>
      </c>
      <c r="I154" s="20" t="n">
        <f aca="false">IF(F154="","",D154*(E154-F154))</f>
        <v>4346.46329999999</v>
      </c>
      <c r="J154" s="11" t="str">
        <f aca="false">IF(C154="UNMAPPED","UNMAPPED ASSET CLASS",IF(F154="","NO INDEPENDENT PRICE",IF(ABS(G154)&gt;H154,"BREACH","OK")))</f>
        <v>OK</v>
      </c>
      <c r="K154" s="11" t="str">
        <f aca="false">IF(COUNTIF(Raw_Data!$A$2:A154,Raw_Data!A154)&gt;1,"DUP","UNIQUE")</f>
        <v>UNIQUE</v>
      </c>
      <c r="L154" s="11" t="str">
        <f aca="false">IF(Raw_Data!B154&lt;&gt;Thresholds!$E$1,"STALE","CURRENT")</f>
        <v>CURRENT</v>
      </c>
    </row>
    <row r="155" customFormat="false" ht="15" hidden="false" customHeight="false" outlineLevel="0" collapsed="false">
      <c r="A155" s="15" t="str">
        <f aca="false">Raw_Data!A155</f>
        <v>P0153</v>
      </c>
      <c r="B155" s="15" t="str">
        <f aca="false">Raw_Data!C155</f>
        <v>Zurich Equities</v>
      </c>
      <c r="C155" s="11" t="str">
        <f aca="false">IFERROR(INDEX(Thresholds!$A$2:$A$5,MATCH(TRIM(Raw_Data!D155),Thresholds!$A$2:$A$5,0)),"UNMAPPED")</f>
        <v>Equity</v>
      </c>
      <c r="D155" s="16" t="n">
        <f aca="false">Raw_Data!G155</f>
        <v>26248</v>
      </c>
      <c r="E155" s="17" t="n">
        <f aca="false">Raw_Data!H155</f>
        <v>219.63</v>
      </c>
      <c r="F155" s="14" t="n">
        <f aca="false">IF(Raw_Data!I155="","",Raw_Data!I155)</f>
        <v>220.46</v>
      </c>
      <c r="G155" s="18" t="n">
        <f aca="false">IF(F155="","",(E155-F155)/F155)</f>
        <v>-0.00376485530254927</v>
      </c>
      <c r="H155" s="19" t="n">
        <f aca="false">IFERROR(INDEX(Thresholds!$B$2:$B$5,MATCH(C155,Thresholds!$A$2:$A$5,0)),"")</f>
        <v>0.01</v>
      </c>
      <c r="I155" s="20" t="n">
        <f aca="false">IF(F155="","",D155*(E155-F155))</f>
        <v>-21785.8400000003</v>
      </c>
      <c r="J155" s="11" t="str">
        <f aca="false">IF(C155="UNMAPPED","UNMAPPED ASSET CLASS",IF(F155="","NO INDEPENDENT PRICE",IF(ABS(G155)&gt;H155,"BREACH","OK")))</f>
        <v>OK</v>
      </c>
      <c r="K155" s="11" t="str">
        <f aca="false">IF(COUNTIF(Raw_Data!$A$2:A155,Raw_Data!A155)&gt;1,"DUP","UNIQUE")</f>
        <v>UNIQUE</v>
      </c>
      <c r="L155" s="11" t="str">
        <f aca="false">IF(Raw_Data!B155&lt;&gt;Thresholds!$E$1,"STALE","CURRENT")</f>
        <v>CURRENT</v>
      </c>
    </row>
    <row r="156" customFormat="false" ht="15" hidden="false" customHeight="false" outlineLevel="0" collapsed="false">
      <c r="A156" s="15" t="str">
        <f aca="false">Raw_Data!A156</f>
        <v>P0154</v>
      </c>
      <c r="B156" s="15" t="str">
        <f aca="false">Raw_Data!C156</f>
        <v>London Rates</v>
      </c>
      <c r="C156" s="11" t="str">
        <f aca="false">IFERROR(INDEX(Thresholds!$A$2:$A$5,MATCH(TRIM(Raw_Data!D156),Thresholds!$A$2:$A$5,0)),"UNMAPPED")</f>
        <v>Government Bond</v>
      </c>
      <c r="D156" s="16" t="n">
        <f aca="false">Raw_Data!G156</f>
        <v>10882</v>
      </c>
      <c r="E156" s="17" t="n">
        <f aca="false">Raw_Data!H156</f>
        <v>100.737</v>
      </c>
      <c r="F156" s="14" t="str">
        <f aca="false">IF(Raw_Data!I156="","",Raw_Data!I156)</f>
        <v/>
      </c>
      <c r="G156" s="18" t="str">
        <f aca="false">IF(F156="","",(E156-F156)/F156)</f>
        <v/>
      </c>
      <c r="H156" s="19" t="n">
        <f aca="false">IFERROR(INDEX(Thresholds!$B$2:$B$5,MATCH(C156,Thresholds!$A$2:$A$5,0)),"")</f>
        <v>0.0025</v>
      </c>
      <c r="I156" s="20" t="str">
        <f aca="false">IF(F156="","",D156*(E156-F156))</f>
        <v/>
      </c>
      <c r="J156" s="11" t="str">
        <f aca="false">IF(C156="UNMAPPED","UNMAPPED ASSET CLASS",IF(F156="","NO INDEPENDENT PRICE",IF(ABS(G156)&gt;H156,"BREACH","OK")))</f>
        <v>NO INDEPENDENT PRICE</v>
      </c>
      <c r="K156" s="11" t="str">
        <f aca="false">IF(COUNTIF(Raw_Data!$A$2:A156,Raw_Data!A156)&gt;1,"DUP","UNIQUE")</f>
        <v>UNIQUE</v>
      </c>
      <c r="L156" s="11" t="str">
        <f aca="false">IF(Raw_Data!B156&lt;&gt;Thresholds!$E$1,"STALE","CURRENT")</f>
        <v>CURRENT</v>
      </c>
    </row>
    <row r="157" customFormat="false" ht="15" hidden="false" customHeight="false" outlineLevel="0" collapsed="false">
      <c r="A157" s="15" t="str">
        <f aca="false">Raw_Data!A157</f>
        <v>P0155</v>
      </c>
      <c r="B157" s="15" t="str">
        <f aca="false">Raw_Data!C157</f>
        <v>London Credit</v>
      </c>
      <c r="C157" s="11" t="str">
        <f aca="false">IFERROR(INDEX(Thresholds!$A$2:$A$5,MATCH(TRIM(Raw_Data!D157),Thresholds!$A$2:$A$5,0)),"UNMAPPED")</f>
        <v>Corporate Bond</v>
      </c>
      <c r="D157" s="16" t="n">
        <f aca="false">Raw_Data!G157</f>
        <v>10861</v>
      </c>
      <c r="E157" s="17" t="n">
        <f aca="false">Raw_Data!H157</f>
        <v>101.848</v>
      </c>
      <c r="F157" s="14" t="n">
        <f aca="false">IF(Raw_Data!I157="","",Raw_Data!I157)</f>
        <v>101.904</v>
      </c>
      <c r="G157" s="18" t="n">
        <f aca="false">IF(F157="","",(E157-F157)/F157)</f>
        <v>-0.000549536818966845</v>
      </c>
      <c r="H157" s="19" t="n">
        <f aca="false">IFERROR(INDEX(Thresholds!$B$2:$B$5,MATCH(C157,Thresholds!$A$2:$A$5,0)),"")</f>
        <v>0.005</v>
      </c>
      <c r="I157" s="20" t="n">
        <f aca="false">IF(F157="","",D157*(E157-F157))</f>
        <v>-608.215999999972</v>
      </c>
      <c r="J157" s="11" t="str">
        <f aca="false">IF(C157="UNMAPPED","UNMAPPED ASSET CLASS",IF(F157="","NO INDEPENDENT PRICE",IF(ABS(G157)&gt;H157,"BREACH","OK")))</f>
        <v>OK</v>
      </c>
      <c r="K157" s="11" t="str">
        <f aca="false">IF(COUNTIF(Raw_Data!$A$2:A157,Raw_Data!A157)&gt;1,"DUP","UNIQUE")</f>
        <v>UNIQUE</v>
      </c>
      <c r="L157" s="11" t="str">
        <f aca="false">IF(Raw_Data!B157&lt;&gt;Thresholds!$E$1,"STALE","CURRENT")</f>
        <v>CURRENT</v>
      </c>
    </row>
    <row r="158" customFormat="false" ht="15" hidden="false" customHeight="false" outlineLevel="0" collapsed="false">
      <c r="A158" s="15" t="str">
        <f aca="false">Raw_Data!A158</f>
        <v>P0156</v>
      </c>
      <c r="B158" s="15" t="str">
        <f aca="false">Raw_Data!C158</f>
        <v>Zurich FX</v>
      </c>
      <c r="C158" s="11" t="str">
        <f aca="false">IFERROR(INDEX(Thresholds!$A$2:$A$5,MATCH(TRIM(Raw_Data!D158),Thresholds!$A$2:$A$5,0)),"UNMAPPED")</f>
        <v>FX Forward</v>
      </c>
      <c r="D158" s="16" t="n">
        <f aca="false">Raw_Data!G158</f>
        <v>3740416</v>
      </c>
      <c r="E158" s="17" t="n">
        <f aca="false">Raw_Data!H158</f>
        <v>1.34677</v>
      </c>
      <c r="F158" s="14" t="n">
        <f aca="false">IF(Raw_Data!I158="","",Raw_Data!I158)</f>
        <v>1.34372</v>
      </c>
      <c r="G158" s="18" t="n">
        <f aca="false">IF(F158="","",(E158-F158)/F158)</f>
        <v>0.00226981811686958</v>
      </c>
      <c r="H158" s="19" t="n">
        <f aca="false">IFERROR(INDEX(Thresholds!$B$2:$B$5,MATCH(C158,Thresholds!$A$2:$A$5,0)),"")</f>
        <v>0.003</v>
      </c>
      <c r="I158" s="20" t="n">
        <f aca="false">IF(F158="","",D158*(E158-F158))</f>
        <v>11408.2688</v>
      </c>
      <c r="J158" s="11" t="str">
        <f aca="false">IF(C158="UNMAPPED","UNMAPPED ASSET CLASS",IF(F158="","NO INDEPENDENT PRICE",IF(ABS(G158)&gt;H158,"BREACH","OK")))</f>
        <v>OK</v>
      </c>
      <c r="K158" s="11" t="str">
        <f aca="false">IF(COUNTIF(Raw_Data!$A$2:A158,Raw_Data!A158)&gt;1,"DUP","UNIQUE")</f>
        <v>UNIQUE</v>
      </c>
      <c r="L158" s="11" t="str">
        <f aca="false">IF(Raw_Data!B158&lt;&gt;Thresholds!$E$1,"STALE","CURRENT")</f>
        <v>CURRENT</v>
      </c>
    </row>
    <row r="159" customFormat="false" ht="15" hidden="false" customHeight="false" outlineLevel="0" collapsed="false">
      <c r="A159" s="15" t="str">
        <f aca="false">Raw_Data!A159</f>
        <v>P0157</v>
      </c>
      <c r="B159" s="15" t="str">
        <f aca="false">Raw_Data!C159</f>
        <v>New York Rates</v>
      </c>
      <c r="C159" s="11" t="str">
        <f aca="false">IFERROR(INDEX(Thresholds!$A$2:$A$5,MATCH(TRIM(Raw_Data!D159),Thresholds!$A$2:$A$5,0)),"UNMAPPED")</f>
        <v>Government Bond</v>
      </c>
      <c r="D159" s="16" t="n">
        <f aca="false">Raw_Data!G159</f>
        <v>17180</v>
      </c>
      <c r="E159" s="17" t="n">
        <f aca="false">Raw_Data!H159</f>
        <v>100.004</v>
      </c>
      <c r="F159" s="14" t="n">
        <f aca="false">IF(Raw_Data!I159="","",Raw_Data!I159)</f>
        <v>99.987</v>
      </c>
      <c r="G159" s="18" t="n">
        <f aca="false">IF(F159="","",(E159-F159)/F159)</f>
        <v>0.000170022102873475</v>
      </c>
      <c r="H159" s="19" t="n">
        <f aca="false">IFERROR(INDEX(Thresholds!$B$2:$B$5,MATCH(C159,Thresholds!$A$2:$A$5,0)),"")</f>
        <v>0.0025</v>
      </c>
      <c r="I159" s="20" t="n">
        <f aca="false">IF(F159="","",D159*(E159-F159))</f>
        <v>292.060000000174</v>
      </c>
      <c r="J159" s="11" t="str">
        <f aca="false">IF(C159="UNMAPPED","UNMAPPED ASSET CLASS",IF(F159="","NO INDEPENDENT PRICE",IF(ABS(G159)&gt;H159,"BREACH","OK")))</f>
        <v>OK</v>
      </c>
      <c r="K159" s="11" t="str">
        <f aca="false">IF(COUNTIF(Raw_Data!$A$2:A159,Raw_Data!A159)&gt;1,"DUP","UNIQUE")</f>
        <v>UNIQUE</v>
      </c>
      <c r="L159" s="11" t="str">
        <f aca="false">IF(Raw_Data!B159&lt;&gt;Thresholds!$E$1,"STALE","CURRENT")</f>
        <v>CURRENT</v>
      </c>
    </row>
    <row r="160" customFormat="false" ht="15" hidden="false" customHeight="false" outlineLevel="0" collapsed="false">
      <c r="A160" s="15" t="str">
        <f aca="false">Raw_Data!A160</f>
        <v>P0158</v>
      </c>
      <c r="B160" s="15" t="str">
        <f aca="false">Raw_Data!C160</f>
        <v>New York Rates</v>
      </c>
      <c r="C160" s="11" t="str">
        <f aca="false">IFERROR(INDEX(Thresholds!$A$2:$A$5,MATCH(TRIM(Raw_Data!D160),Thresholds!$A$2:$A$5,0)),"UNMAPPED")</f>
        <v>Government Bond</v>
      </c>
      <c r="D160" s="16" t="n">
        <f aca="false">Raw_Data!G160</f>
        <v>11561</v>
      </c>
      <c r="E160" s="17" t="n">
        <f aca="false">Raw_Data!H160</f>
        <v>96.644</v>
      </c>
      <c r="F160" s="14" t="n">
        <f aca="false">IF(Raw_Data!I160="","",Raw_Data!I160)</f>
        <v>96.545</v>
      </c>
      <c r="G160" s="18" t="n">
        <f aca="false">IF(F160="","",(E160-F160)/F160)</f>
        <v>0.00102542855663166</v>
      </c>
      <c r="H160" s="19" t="n">
        <f aca="false">IFERROR(INDEX(Thresholds!$B$2:$B$5,MATCH(C160,Thresholds!$A$2:$A$5,0)),"")</f>
        <v>0.0025</v>
      </c>
      <c r="I160" s="20" t="n">
        <f aca="false">IF(F160="","",D160*(E160-F160))</f>
        <v>1144.53900000004</v>
      </c>
      <c r="J160" s="11" t="str">
        <f aca="false">IF(C160="UNMAPPED","UNMAPPED ASSET CLASS",IF(F160="","NO INDEPENDENT PRICE",IF(ABS(G160)&gt;H160,"BREACH","OK")))</f>
        <v>OK</v>
      </c>
      <c r="K160" s="11" t="str">
        <f aca="false">IF(COUNTIF(Raw_Data!$A$2:A160,Raw_Data!A160)&gt;1,"DUP","UNIQUE")</f>
        <v>UNIQUE</v>
      </c>
      <c r="L160" s="11" t="str">
        <f aca="false">IF(Raw_Data!B160&lt;&gt;Thresholds!$E$1,"STALE","CURRENT")</f>
        <v>CURRENT</v>
      </c>
    </row>
    <row r="161" customFormat="false" ht="15" hidden="false" customHeight="false" outlineLevel="0" collapsed="false">
      <c r="A161" s="15" t="str">
        <f aca="false">Raw_Data!A161</f>
        <v>P0159</v>
      </c>
      <c r="B161" s="15" t="str">
        <f aca="false">Raw_Data!C161</f>
        <v>New York Credit</v>
      </c>
      <c r="C161" s="11" t="str">
        <f aca="false">IFERROR(INDEX(Thresholds!$A$2:$A$5,MATCH(TRIM(Raw_Data!D161),Thresholds!$A$2:$A$5,0)),"UNMAPPED")</f>
        <v>Corporate Bond</v>
      </c>
      <c r="D161" s="16" t="n">
        <f aca="false">Raw_Data!G161</f>
        <v>11278</v>
      </c>
      <c r="E161" s="17" t="n">
        <f aca="false">Raw_Data!H161</f>
        <v>103.657</v>
      </c>
      <c r="F161" s="14" t="n">
        <f aca="false">IF(Raw_Data!I161="","",Raw_Data!I161)</f>
        <v>103.664</v>
      </c>
      <c r="G161" s="18" t="n">
        <f aca="false">IF(F161="","",(E161-F161)/F161)</f>
        <v>-6.75258527551031E-005</v>
      </c>
      <c r="H161" s="19" t="n">
        <f aca="false">IFERROR(INDEX(Thresholds!$B$2:$B$5,MATCH(C161,Thresholds!$A$2:$A$5,0)),"")</f>
        <v>0.005</v>
      </c>
      <c r="I161" s="20" t="n">
        <f aca="false">IF(F161="","",D161*(E161-F161))</f>
        <v>-78.9460000000564</v>
      </c>
      <c r="J161" s="11" t="str">
        <f aca="false">IF(C161="UNMAPPED","UNMAPPED ASSET CLASS",IF(F161="","NO INDEPENDENT PRICE",IF(ABS(G161)&gt;H161,"BREACH","OK")))</f>
        <v>OK</v>
      </c>
      <c r="K161" s="11" t="str">
        <f aca="false">IF(COUNTIF(Raw_Data!$A$2:A161,Raw_Data!A161)&gt;1,"DUP","UNIQUE")</f>
        <v>UNIQUE</v>
      </c>
      <c r="L161" s="11" t="str">
        <f aca="false">IF(Raw_Data!B161&lt;&gt;Thresholds!$E$1,"STALE","CURRENT")</f>
        <v>CURRENT</v>
      </c>
    </row>
    <row r="162" customFormat="false" ht="15" hidden="false" customHeight="false" outlineLevel="0" collapsed="false">
      <c r="A162" s="15" t="str">
        <f aca="false">Raw_Data!A162</f>
        <v>P0160</v>
      </c>
      <c r="B162" s="15" t="str">
        <f aca="false">Raw_Data!C162</f>
        <v>Zurich Equities</v>
      </c>
      <c r="C162" s="11" t="str">
        <f aca="false">IFERROR(INDEX(Thresholds!$A$2:$A$5,MATCH(TRIM(Raw_Data!D162),Thresholds!$A$2:$A$5,0)),"UNMAPPED")</f>
        <v>Equity</v>
      </c>
      <c r="D162" s="16" t="n">
        <f aca="false">Raw_Data!G162</f>
        <v>20253</v>
      </c>
      <c r="E162" s="17" t="n">
        <f aca="false">Raw_Data!H162</f>
        <v>51.32</v>
      </c>
      <c r="F162" s="14" t="n">
        <f aca="false">IF(Raw_Data!I162="","",Raw_Data!I162)</f>
        <v>51.81</v>
      </c>
      <c r="G162" s="18" t="n">
        <f aca="false">IF(F162="","",(E162-F162)/F162)</f>
        <v>-0.00945763366145536</v>
      </c>
      <c r="H162" s="19" t="n">
        <f aca="false">IFERROR(INDEX(Thresholds!$B$2:$B$5,MATCH(C162,Thresholds!$A$2:$A$5,0)),"")</f>
        <v>0.01</v>
      </c>
      <c r="I162" s="20" t="n">
        <f aca="false">IF(F162="","",D162*(E162-F162))</f>
        <v>-9923.97000000004</v>
      </c>
      <c r="J162" s="11" t="str">
        <f aca="false">IF(C162="UNMAPPED","UNMAPPED ASSET CLASS",IF(F162="","NO INDEPENDENT PRICE",IF(ABS(G162)&gt;H162,"BREACH","OK")))</f>
        <v>OK</v>
      </c>
      <c r="K162" s="11" t="str">
        <f aca="false">IF(COUNTIF(Raw_Data!$A$2:A162,Raw_Data!A162)&gt;1,"DUP","UNIQUE")</f>
        <v>UNIQUE</v>
      </c>
      <c r="L162" s="11" t="str">
        <f aca="false">IF(Raw_Data!B162&lt;&gt;Thresholds!$E$1,"STALE","CURRENT")</f>
        <v>CURRENT</v>
      </c>
    </row>
    <row r="163" customFormat="false" ht="15" hidden="false" customHeight="false" outlineLevel="0" collapsed="false">
      <c r="A163" s="15" t="str">
        <f aca="false">Raw_Data!A163</f>
        <v>P0161</v>
      </c>
      <c r="B163" s="15" t="str">
        <f aca="false">Raw_Data!C163</f>
        <v>London Rates</v>
      </c>
      <c r="C163" s="11" t="str">
        <f aca="false">IFERROR(INDEX(Thresholds!$A$2:$A$5,MATCH(TRIM(Raw_Data!D163),Thresholds!$A$2:$A$5,0)),"UNMAPPED")</f>
        <v>Government Bond</v>
      </c>
      <c r="D163" s="16" t="n">
        <f aca="false">Raw_Data!G163</f>
        <v>2318</v>
      </c>
      <c r="E163" s="17" t="n">
        <f aca="false">Raw_Data!H163</f>
        <v>103.997</v>
      </c>
      <c r="F163" s="14" t="n">
        <f aca="false">IF(Raw_Data!I163="","",Raw_Data!I163)</f>
        <v>104.036</v>
      </c>
      <c r="G163" s="18" t="n">
        <f aca="false">IF(F163="","",(E163-F163)/F163)</f>
        <v>-0.00037487023722559</v>
      </c>
      <c r="H163" s="19" t="n">
        <f aca="false">IFERROR(INDEX(Thresholds!$B$2:$B$5,MATCH(C163,Thresholds!$A$2:$A$5,0)),"")</f>
        <v>0.0025</v>
      </c>
      <c r="I163" s="20" t="n">
        <f aca="false">IF(F163="","",D163*(E163-F163))</f>
        <v>-90.4020000000034</v>
      </c>
      <c r="J163" s="11" t="str">
        <f aca="false">IF(C163="UNMAPPED","UNMAPPED ASSET CLASS",IF(F163="","NO INDEPENDENT PRICE",IF(ABS(G163)&gt;H163,"BREACH","OK")))</f>
        <v>OK</v>
      </c>
      <c r="K163" s="11" t="str">
        <f aca="false">IF(COUNTIF(Raw_Data!$A$2:A163,Raw_Data!A163)&gt;1,"DUP","UNIQUE")</f>
        <v>UNIQUE</v>
      </c>
      <c r="L163" s="11" t="str">
        <f aca="false">IF(Raw_Data!B163&lt;&gt;Thresholds!$E$1,"STALE","CURRENT")</f>
        <v>CURRENT</v>
      </c>
    </row>
    <row r="164" customFormat="false" ht="15" hidden="false" customHeight="false" outlineLevel="0" collapsed="false">
      <c r="A164" s="15" t="str">
        <f aca="false">Raw_Data!A164</f>
        <v>P0162</v>
      </c>
      <c r="B164" s="15" t="str">
        <f aca="false">Raw_Data!C164</f>
        <v>Zurich Equities</v>
      </c>
      <c r="C164" s="11" t="str">
        <f aca="false">IFERROR(INDEX(Thresholds!$A$2:$A$5,MATCH(TRIM(Raw_Data!D164),Thresholds!$A$2:$A$5,0)),"UNMAPPED")</f>
        <v>Equity</v>
      </c>
      <c r="D164" s="16" t="n">
        <f aca="false">Raw_Data!G164</f>
        <v>49119</v>
      </c>
      <c r="E164" s="17" t="n">
        <f aca="false">Raw_Data!H164</f>
        <v>291.24</v>
      </c>
      <c r="F164" s="14" t="n">
        <f aca="false">IF(Raw_Data!I164="","",Raw_Data!I164)</f>
        <v>292.85</v>
      </c>
      <c r="G164" s="18" t="n">
        <f aca="false">IF(F164="","",(E164-F164)/F164)</f>
        <v>-0.00549769506573336</v>
      </c>
      <c r="H164" s="19" t="n">
        <f aca="false">IFERROR(INDEX(Thresholds!$B$2:$B$5,MATCH(C164,Thresholds!$A$2:$A$5,0)),"")</f>
        <v>0.01</v>
      </c>
      <c r="I164" s="20" t="n">
        <f aca="false">IF(F164="","",D164*(E164-F164))</f>
        <v>-79081.5900000007</v>
      </c>
      <c r="J164" s="11" t="str">
        <f aca="false">IF(C164="UNMAPPED","UNMAPPED ASSET CLASS",IF(F164="","NO INDEPENDENT PRICE",IF(ABS(G164)&gt;H164,"BREACH","OK")))</f>
        <v>OK</v>
      </c>
      <c r="K164" s="11" t="str">
        <f aca="false">IF(COUNTIF(Raw_Data!$A$2:A164,Raw_Data!A164)&gt;1,"DUP","UNIQUE")</f>
        <v>UNIQUE</v>
      </c>
      <c r="L164" s="11" t="str">
        <f aca="false">IF(Raw_Data!B164&lt;&gt;Thresholds!$E$1,"STALE","CURRENT")</f>
        <v>CURRENT</v>
      </c>
    </row>
    <row r="165" customFormat="false" ht="15" hidden="false" customHeight="false" outlineLevel="0" collapsed="false">
      <c r="A165" s="15" t="str">
        <f aca="false">Raw_Data!A165</f>
        <v>P0163</v>
      </c>
      <c r="B165" s="15" t="str">
        <f aca="false">Raw_Data!C165</f>
        <v>Singapore Equities</v>
      </c>
      <c r="C165" s="11" t="str">
        <f aca="false">IFERROR(INDEX(Thresholds!$A$2:$A$5,MATCH(TRIM(Raw_Data!D165),Thresholds!$A$2:$A$5,0)),"UNMAPPED")</f>
        <v>Equity</v>
      </c>
      <c r="D165" s="16" t="n">
        <f aca="false">Raw_Data!G165</f>
        <v>41220</v>
      </c>
      <c r="E165" s="17" t="n">
        <f aca="false">Raw_Data!H165</f>
        <v>45.45</v>
      </c>
      <c r="F165" s="14" t="n">
        <f aca="false">IF(Raw_Data!I165="","",Raw_Data!I165)</f>
        <v>45.35</v>
      </c>
      <c r="G165" s="18" t="n">
        <f aca="false">IF(F165="","",(E165-F165)/F165)</f>
        <v>0.00220507166482914</v>
      </c>
      <c r="H165" s="19" t="n">
        <f aca="false">IFERROR(INDEX(Thresholds!$B$2:$B$5,MATCH(C165,Thresholds!$A$2:$A$5,0)),"")</f>
        <v>0.01</v>
      </c>
      <c r="I165" s="20" t="n">
        <f aca="false">IF(F165="","",D165*(E165-F165))</f>
        <v>4122.00000000006</v>
      </c>
      <c r="J165" s="11" t="str">
        <f aca="false">IF(C165="UNMAPPED","UNMAPPED ASSET CLASS",IF(F165="","NO INDEPENDENT PRICE",IF(ABS(G165)&gt;H165,"BREACH","OK")))</f>
        <v>OK</v>
      </c>
      <c r="K165" s="11" t="str">
        <f aca="false">IF(COUNTIF(Raw_Data!$A$2:A165,Raw_Data!A165)&gt;1,"DUP","UNIQUE")</f>
        <v>UNIQUE</v>
      </c>
      <c r="L165" s="11" t="str">
        <f aca="false">IF(Raw_Data!B165&lt;&gt;Thresholds!$E$1,"STALE","CURRENT")</f>
        <v>CURRENT</v>
      </c>
    </row>
    <row r="166" customFormat="false" ht="15" hidden="false" customHeight="false" outlineLevel="0" collapsed="false">
      <c r="A166" s="15" t="str">
        <f aca="false">Raw_Data!A166</f>
        <v>P0164</v>
      </c>
      <c r="B166" s="15" t="str">
        <f aca="false">Raw_Data!C166</f>
        <v>New York Rates</v>
      </c>
      <c r="C166" s="11" t="str">
        <f aca="false">IFERROR(INDEX(Thresholds!$A$2:$A$5,MATCH(TRIM(Raw_Data!D166),Thresholds!$A$2:$A$5,0)),"UNMAPPED")</f>
        <v>Government Bond</v>
      </c>
      <c r="D166" s="16" t="n">
        <f aca="false">Raw_Data!G166</f>
        <v>15868</v>
      </c>
      <c r="E166" s="17" t="n">
        <f aca="false">Raw_Data!H166</f>
        <v>98.814</v>
      </c>
      <c r="F166" s="14" t="n">
        <f aca="false">IF(Raw_Data!I166="","",Raw_Data!I166)</f>
        <v>98.538</v>
      </c>
      <c r="G166" s="18" t="n">
        <f aca="false">IF(F166="","",(E166-F166)/F166)</f>
        <v>0.00280094988735306</v>
      </c>
      <c r="H166" s="19" t="n">
        <f aca="false">IFERROR(INDEX(Thresholds!$B$2:$B$5,MATCH(C166,Thresholds!$A$2:$A$5,0)),"")</f>
        <v>0.0025</v>
      </c>
      <c r="I166" s="20" t="n">
        <f aca="false">IF(F166="","",D166*(E166-F166))</f>
        <v>4379.56799999994</v>
      </c>
      <c r="J166" s="11" t="str">
        <f aca="false">IF(C166="UNMAPPED","UNMAPPED ASSET CLASS",IF(F166="","NO INDEPENDENT PRICE",IF(ABS(G166)&gt;H166,"BREACH","OK")))</f>
        <v>BREACH</v>
      </c>
      <c r="K166" s="11" t="str">
        <f aca="false">IF(COUNTIF(Raw_Data!$A$2:A166,Raw_Data!A166)&gt;1,"DUP","UNIQUE")</f>
        <v>UNIQUE</v>
      </c>
      <c r="L166" s="11" t="str">
        <f aca="false">IF(Raw_Data!B166&lt;&gt;Thresholds!$E$1,"STALE","CURRENT")</f>
        <v>CURRENT</v>
      </c>
    </row>
    <row r="167" customFormat="false" ht="15" hidden="false" customHeight="false" outlineLevel="0" collapsed="false">
      <c r="A167" s="15" t="str">
        <f aca="false">Raw_Data!A167</f>
        <v>P0165</v>
      </c>
      <c r="B167" s="15" t="str">
        <f aca="false">Raw_Data!C167</f>
        <v>London Credit</v>
      </c>
      <c r="C167" s="11" t="str">
        <f aca="false">IFERROR(INDEX(Thresholds!$A$2:$A$5,MATCH(TRIM(Raw_Data!D167),Thresholds!$A$2:$A$5,0)),"UNMAPPED")</f>
        <v>Corporate Bond</v>
      </c>
      <c r="D167" s="16" t="n">
        <f aca="false">Raw_Data!G167</f>
        <v>5534</v>
      </c>
      <c r="E167" s="17" t="n">
        <f aca="false">Raw_Data!H167</f>
        <v>96.347</v>
      </c>
      <c r="F167" s="14" t="n">
        <f aca="false">IF(Raw_Data!I167="","",Raw_Data!I167)</f>
        <v>96.475</v>
      </c>
      <c r="G167" s="18" t="n">
        <f aca="false">IF(F167="","",(E167-F167)/F167)</f>
        <v>-0.00132676859289972</v>
      </c>
      <c r="H167" s="19" t="n">
        <f aca="false">IFERROR(INDEX(Thresholds!$B$2:$B$5,MATCH(C167,Thresholds!$A$2:$A$5,0)),"")</f>
        <v>0.005</v>
      </c>
      <c r="I167" s="20" t="n">
        <f aca="false">IF(F167="","",D167*(E167-F167))</f>
        <v>-708.352000000001</v>
      </c>
      <c r="J167" s="11" t="str">
        <f aca="false">IF(C167="UNMAPPED","UNMAPPED ASSET CLASS",IF(F167="","NO INDEPENDENT PRICE",IF(ABS(G167)&gt;H167,"BREACH","OK")))</f>
        <v>OK</v>
      </c>
      <c r="K167" s="11" t="str">
        <f aca="false">IF(COUNTIF(Raw_Data!$A$2:A167,Raw_Data!A167)&gt;1,"DUP","UNIQUE")</f>
        <v>UNIQUE</v>
      </c>
      <c r="L167" s="11" t="str">
        <f aca="false">IF(Raw_Data!B167&lt;&gt;Thresholds!$E$1,"STALE","CURRENT")</f>
        <v>CURRENT</v>
      </c>
    </row>
    <row r="168" customFormat="false" ht="15" hidden="false" customHeight="false" outlineLevel="0" collapsed="false">
      <c r="A168" s="15" t="str">
        <f aca="false">Raw_Data!A168</f>
        <v>P0166</v>
      </c>
      <c r="B168" s="15" t="str">
        <f aca="false">Raw_Data!C168</f>
        <v>New York Rates</v>
      </c>
      <c r="C168" s="11" t="str">
        <f aca="false">IFERROR(INDEX(Thresholds!$A$2:$A$5,MATCH(TRIM(Raw_Data!D168),Thresholds!$A$2:$A$5,0)),"UNMAPPED")</f>
        <v>Government Bond</v>
      </c>
      <c r="D168" s="16" t="n">
        <f aca="false">Raw_Data!G168</f>
        <v>16883</v>
      </c>
      <c r="E168" s="17" t="n">
        <f aca="false">Raw_Data!H168</f>
        <v>100.394</v>
      </c>
      <c r="F168" s="14" t="n">
        <f aca="false">IF(Raw_Data!I168="","",Raw_Data!I168)</f>
        <v>100.297</v>
      </c>
      <c r="G168" s="18" t="n">
        <f aca="false">IF(F168="","",(E168-F168)/F168)</f>
        <v>0.000967127630936204</v>
      </c>
      <c r="H168" s="19" t="n">
        <f aca="false">IFERROR(INDEX(Thresholds!$B$2:$B$5,MATCH(C168,Thresholds!$A$2:$A$5,0)),"")</f>
        <v>0.0025</v>
      </c>
      <c r="I168" s="20" t="n">
        <f aca="false">IF(F168="","",D168*(E168-F168))</f>
        <v>1637.65100000014</v>
      </c>
      <c r="J168" s="11" t="str">
        <f aca="false">IF(C168="UNMAPPED","UNMAPPED ASSET CLASS",IF(F168="","NO INDEPENDENT PRICE",IF(ABS(G168)&gt;H168,"BREACH","OK")))</f>
        <v>OK</v>
      </c>
      <c r="K168" s="11" t="str">
        <f aca="false">IF(COUNTIF(Raw_Data!$A$2:A168,Raw_Data!A168)&gt;1,"DUP","UNIQUE")</f>
        <v>UNIQUE</v>
      </c>
      <c r="L168" s="11" t="str">
        <f aca="false">IF(Raw_Data!B168&lt;&gt;Thresholds!$E$1,"STALE","CURRENT")</f>
        <v>CURRENT</v>
      </c>
    </row>
    <row r="169" customFormat="false" ht="15" hidden="false" customHeight="false" outlineLevel="0" collapsed="false">
      <c r="A169" s="15" t="str">
        <f aca="false">Raw_Data!A169</f>
        <v>P0167</v>
      </c>
      <c r="B169" s="15" t="str">
        <f aca="false">Raw_Data!C169</f>
        <v>Zurich Equities</v>
      </c>
      <c r="C169" s="11" t="str">
        <f aca="false">IFERROR(INDEX(Thresholds!$A$2:$A$5,MATCH(TRIM(Raw_Data!D169),Thresholds!$A$2:$A$5,0)),"UNMAPPED")</f>
        <v>Equity</v>
      </c>
      <c r="D169" s="16" t="n">
        <f aca="false">Raw_Data!G169</f>
        <v>41298</v>
      </c>
      <c r="E169" s="17" t="n">
        <f aca="false">Raw_Data!H169</f>
        <v>174.57</v>
      </c>
      <c r="F169" s="14" t="n">
        <f aca="false">IF(Raw_Data!I169="","",Raw_Data!I169)</f>
        <v>175.65</v>
      </c>
      <c r="G169" s="18" t="n">
        <f aca="false">IF(F169="","",(E169-F169)/F169)</f>
        <v>-0.00614859094790784</v>
      </c>
      <c r="H169" s="19" t="n">
        <f aca="false">IFERROR(INDEX(Thresholds!$B$2:$B$5,MATCH(C169,Thresholds!$A$2:$A$5,0)),"")</f>
        <v>0.01</v>
      </c>
      <c r="I169" s="20" t="n">
        <f aca="false">IF(F169="","",D169*(E169-F169))</f>
        <v>-44601.8400000005</v>
      </c>
      <c r="J169" s="11" t="str">
        <f aca="false">IF(C169="UNMAPPED","UNMAPPED ASSET CLASS",IF(F169="","NO INDEPENDENT PRICE",IF(ABS(G169)&gt;H169,"BREACH","OK")))</f>
        <v>OK</v>
      </c>
      <c r="K169" s="11" t="str">
        <f aca="false">IF(COUNTIF(Raw_Data!$A$2:A169,Raw_Data!A169)&gt;1,"DUP","UNIQUE")</f>
        <v>UNIQUE</v>
      </c>
      <c r="L169" s="11" t="str">
        <f aca="false">IF(Raw_Data!B169&lt;&gt;Thresholds!$E$1,"STALE","CURRENT")</f>
        <v>CURRENT</v>
      </c>
    </row>
    <row r="170" customFormat="false" ht="15" hidden="false" customHeight="false" outlineLevel="0" collapsed="false">
      <c r="A170" s="15" t="str">
        <f aca="false">Raw_Data!A170</f>
        <v>P0168</v>
      </c>
      <c r="B170" s="15" t="str">
        <f aca="false">Raw_Data!C170</f>
        <v>Singapore Equities</v>
      </c>
      <c r="C170" s="11" t="str">
        <f aca="false">IFERROR(INDEX(Thresholds!$A$2:$A$5,MATCH(TRIM(Raw_Data!D170),Thresholds!$A$2:$A$5,0)),"UNMAPPED")</f>
        <v>Equity</v>
      </c>
      <c r="D170" s="16" t="n">
        <f aca="false">Raw_Data!G170</f>
        <v>15356</v>
      </c>
      <c r="E170" s="17" t="n">
        <f aca="false">Raw_Data!H170</f>
        <v>295.86</v>
      </c>
      <c r="F170" s="14" t="n">
        <f aca="false">IF(Raw_Data!I170="","",Raw_Data!I170)</f>
        <v>296.3</v>
      </c>
      <c r="G170" s="18" t="n">
        <f aca="false">IF(F170="","",(E170-F170)/F170)</f>
        <v>-0.00148498143773202</v>
      </c>
      <c r="H170" s="19" t="n">
        <f aca="false">IFERROR(INDEX(Thresholds!$B$2:$B$5,MATCH(C170,Thresholds!$A$2:$A$5,0)),"")</f>
        <v>0.01</v>
      </c>
      <c r="I170" s="20" t="n">
        <f aca="false">IF(F170="","",D170*(E170-F170))</f>
        <v>-6756.63999999997</v>
      </c>
      <c r="J170" s="11" t="str">
        <f aca="false">IF(C170="UNMAPPED","UNMAPPED ASSET CLASS",IF(F170="","NO INDEPENDENT PRICE",IF(ABS(G170)&gt;H170,"BREACH","OK")))</f>
        <v>OK</v>
      </c>
      <c r="K170" s="11" t="str">
        <f aca="false">IF(COUNTIF(Raw_Data!$A$2:A170,Raw_Data!A170)&gt;1,"DUP","UNIQUE")</f>
        <v>UNIQUE</v>
      </c>
      <c r="L170" s="11" t="str">
        <f aca="false">IF(Raw_Data!B170&lt;&gt;Thresholds!$E$1,"STALE","CURRENT")</f>
        <v>CURRENT</v>
      </c>
    </row>
    <row r="171" customFormat="false" ht="15" hidden="false" customHeight="false" outlineLevel="0" collapsed="false">
      <c r="A171" s="15" t="str">
        <f aca="false">Raw_Data!A171</f>
        <v>P0169</v>
      </c>
      <c r="B171" s="15" t="str">
        <f aca="false">Raw_Data!C171</f>
        <v>Zurich Equities</v>
      </c>
      <c r="C171" s="11" t="str">
        <f aca="false">IFERROR(INDEX(Thresholds!$A$2:$A$5,MATCH(TRIM(Raw_Data!D171),Thresholds!$A$2:$A$5,0)),"UNMAPPED")</f>
        <v>Equity</v>
      </c>
      <c r="D171" s="16" t="n">
        <f aca="false">Raw_Data!G171</f>
        <v>37282</v>
      </c>
      <c r="E171" s="17" t="n">
        <f aca="false">Raw_Data!H171</f>
        <v>36.22</v>
      </c>
      <c r="F171" s="14" t="n">
        <f aca="false">IF(Raw_Data!I171="","",Raw_Data!I171)</f>
        <v>35.83</v>
      </c>
      <c r="G171" s="18" t="n">
        <f aca="false">IF(F171="","",(E171-F171)/F171)</f>
        <v>0.010884733463578</v>
      </c>
      <c r="H171" s="19" t="n">
        <f aca="false">IFERROR(INDEX(Thresholds!$B$2:$B$5,MATCH(C171,Thresholds!$A$2:$A$5,0)),"")</f>
        <v>0.01</v>
      </c>
      <c r="I171" s="20" t="n">
        <f aca="false">IF(F171="","",D171*(E171-F171))</f>
        <v>14539.98</v>
      </c>
      <c r="J171" s="11" t="str">
        <f aca="false">IF(C171="UNMAPPED","UNMAPPED ASSET CLASS",IF(F171="","NO INDEPENDENT PRICE",IF(ABS(G171)&gt;H171,"BREACH","OK")))</f>
        <v>BREACH</v>
      </c>
      <c r="K171" s="11" t="str">
        <f aca="false">IF(COUNTIF(Raw_Data!$A$2:A171,Raw_Data!A171)&gt;1,"DUP","UNIQUE")</f>
        <v>UNIQUE</v>
      </c>
      <c r="L171" s="11" t="str">
        <f aca="false">IF(Raw_Data!B171&lt;&gt;Thresholds!$E$1,"STALE","CURRENT")</f>
        <v>STALE</v>
      </c>
    </row>
    <row r="172" customFormat="false" ht="15" hidden="false" customHeight="false" outlineLevel="0" collapsed="false">
      <c r="A172" s="15" t="str">
        <f aca="false">Raw_Data!A172</f>
        <v>P0170</v>
      </c>
      <c r="B172" s="15" t="str">
        <f aca="false">Raw_Data!C172</f>
        <v>Zurich FX</v>
      </c>
      <c r="C172" s="11" t="str">
        <f aca="false">IFERROR(INDEX(Thresholds!$A$2:$A$5,MATCH(TRIM(Raw_Data!D172),Thresholds!$A$2:$A$5,0)),"UNMAPPED")</f>
        <v>FX Forward</v>
      </c>
      <c r="D172" s="16" t="n">
        <f aca="false">Raw_Data!G172</f>
        <v>2417331</v>
      </c>
      <c r="E172" s="17" t="n">
        <f aca="false">Raw_Data!H172</f>
        <v>1.46403</v>
      </c>
      <c r="F172" s="14" t="n">
        <f aca="false">IF(Raw_Data!I172="","",Raw_Data!I172)</f>
        <v>1.4629</v>
      </c>
      <c r="G172" s="18" t="n">
        <f aca="false">IF(F172="","",(E172-F172)/F172)</f>
        <v>0.000772438307471361</v>
      </c>
      <c r="H172" s="19" t="n">
        <f aca="false">IFERROR(INDEX(Thresholds!$B$2:$B$5,MATCH(C172,Thresholds!$A$2:$A$5,0)),"")</f>
        <v>0.003</v>
      </c>
      <c r="I172" s="20" t="n">
        <f aca="false">IF(F172="","",D172*(E172-F172))</f>
        <v>2731.58402999965</v>
      </c>
      <c r="J172" s="11" t="str">
        <f aca="false">IF(C172="UNMAPPED","UNMAPPED ASSET CLASS",IF(F172="","NO INDEPENDENT PRICE",IF(ABS(G172)&gt;H172,"BREACH","OK")))</f>
        <v>OK</v>
      </c>
      <c r="K172" s="11" t="str">
        <f aca="false">IF(COUNTIF(Raw_Data!$A$2:A172,Raw_Data!A172)&gt;1,"DUP","UNIQUE")</f>
        <v>UNIQUE</v>
      </c>
      <c r="L172" s="11" t="str">
        <f aca="false">IF(Raw_Data!B172&lt;&gt;Thresholds!$E$1,"STALE","CURRENT")</f>
        <v>CURRENT</v>
      </c>
    </row>
    <row r="173" customFormat="false" ht="15" hidden="false" customHeight="false" outlineLevel="0" collapsed="false">
      <c r="A173" s="15" t="str">
        <f aca="false">Raw_Data!A173</f>
        <v>P0171</v>
      </c>
      <c r="B173" s="15" t="str">
        <f aca="false">Raw_Data!C173</f>
        <v>New York Credit</v>
      </c>
      <c r="C173" s="11" t="str">
        <f aca="false">IFERROR(INDEX(Thresholds!$A$2:$A$5,MATCH(TRIM(Raw_Data!D173),Thresholds!$A$2:$A$5,0)),"UNMAPPED")</f>
        <v>Corporate Bond</v>
      </c>
      <c r="D173" s="16" t="n">
        <f aca="false">Raw_Data!G173</f>
        <v>17617</v>
      </c>
      <c r="E173" s="17" t="n">
        <f aca="false">Raw_Data!H173</f>
        <v>102.614</v>
      </c>
      <c r="F173" s="14" t="n">
        <f aca="false">IF(Raw_Data!I173="","",Raw_Data!I173)</f>
        <v>103.32</v>
      </c>
      <c r="G173" s="18" t="n">
        <f aca="false">IF(F173="","",(E173-F173)/F173)</f>
        <v>-0.00683313975996892</v>
      </c>
      <c r="H173" s="19" t="n">
        <f aca="false">IFERROR(INDEX(Thresholds!$B$2:$B$5,MATCH(C173,Thresholds!$A$2:$A$5,0)),"")</f>
        <v>0.005</v>
      </c>
      <c r="I173" s="20" t="n">
        <f aca="false">IF(F173="","",D173*(E173-F173))</f>
        <v>-12437.6019999998</v>
      </c>
      <c r="J173" s="11" t="str">
        <f aca="false">IF(C173="UNMAPPED","UNMAPPED ASSET CLASS",IF(F173="","NO INDEPENDENT PRICE",IF(ABS(G173)&gt;H173,"BREACH","OK")))</f>
        <v>BREACH</v>
      </c>
      <c r="K173" s="11" t="str">
        <f aca="false">IF(COUNTIF(Raw_Data!$A$2:A173,Raw_Data!A173)&gt;1,"DUP","UNIQUE")</f>
        <v>UNIQUE</v>
      </c>
      <c r="L173" s="11" t="str">
        <f aca="false">IF(Raw_Data!B173&lt;&gt;Thresholds!$E$1,"STALE","CURRENT")</f>
        <v>CURRENT</v>
      </c>
    </row>
    <row r="174" customFormat="false" ht="15" hidden="false" customHeight="false" outlineLevel="0" collapsed="false">
      <c r="A174" s="15" t="str">
        <f aca="false">Raw_Data!A174</f>
        <v>P0172</v>
      </c>
      <c r="B174" s="15" t="str">
        <f aca="false">Raw_Data!C174</f>
        <v>New York Rates</v>
      </c>
      <c r="C174" s="11" t="str">
        <f aca="false">IFERROR(INDEX(Thresholds!$A$2:$A$5,MATCH(TRIM(Raw_Data!D174),Thresholds!$A$2:$A$5,0)),"UNMAPPED")</f>
        <v>Government Bond</v>
      </c>
      <c r="D174" s="16" t="n">
        <f aca="false">Raw_Data!G174</f>
        <v>8972</v>
      </c>
      <c r="E174" s="17" t="n">
        <f aca="false">Raw_Data!H174</f>
        <v>102.343</v>
      </c>
      <c r="F174" s="14" t="n">
        <f aca="false">IF(Raw_Data!I174="","",Raw_Data!I174)</f>
        <v>102.283</v>
      </c>
      <c r="G174" s="18" t="n">
        <f aca="false">IF(F174="","",(E174-F174)/F174)</f>
        <v>0.000586607745177618</v>
      </c>
      <c r="H174" s="19" t="n">
        <f aca="false">IFERROR(INDEX(Thresholds!$B$2:$B$5,MATCH(C174,Thresholds!$A$2:$A$5,0)),"")</f>
        <v>0.0025</v>
      </c>
      <c r="I174" s="20" t="n">
        <f aca="false">IF(F174="","",D174*(E174-F174))</f>
        <v>538.32000000002</v>
      </c>
      <c r="J174" s="11" t="str">
        <f aca="false">IF(C174="UNMAPPED","UNMAPPED ASSET CLASS",IF(F174="","NO INDEPENDENT PRICE",IF(ABS(G174)&gt;H174,"BREACH","OK")))</f>
        <v>OK</v>
      </c>
      <c r="K174" s="11" t="str">
        <f aca="false">IF(COUNTIF(Raw_Data!$A$2:A174,Raw_Data!A174)&gt;1,"DUP","UNIQUE")</f>
        <v>UNIQUE</v>
      </c>
      <c r="L174" s="11" t="str">
        <f aca="false">IF(Raw_Data!B174&lt;&gt;Thresholds!$E$1,"STALE","CURRENT")</f>
        <v>CURRENT</v>
      </c>
    </row>
    <row r="175" customFormat="false" ht="15" hidden="false" customHeight="false" outlineLevel="0" collapsed="false">
      <c r="A175" s="15" t="str">
        <f aca="false">Raw_Data!A175</f>
        <v>P0173</v>
      </c>
      <c r="B175" s="15" t="str">
        <f aca="false">Raw_Data!C175</f>
        <v>Singapore Equities</v>
      </c>
      <c r="C175" s="11" t="str">
        <f aca="false">IFERROR(INDEX(Thresholds!$A$2:$A$5,MATCH(TRIM(Raw_Data!D175),Thresholds!$A$2:$A$5,0)),"UNMAPPED")</f>
        <v>Equity</v>
      </c>
      <c r="D175" s="16" t="n">
        <f aca="false">Raw_Data!G175</f>
        <v>13903</v>
      </c>
      <c r="E175" s="17" t="n">
        <f aca="false">Raw_Data!H175</f>
        <v>98.89</v>
      </c>
      <c r="F175" s="14" t="n">
        <f aca="false">IF(Raw_Data!I175="","",Raw_Data!I175)</f>
        <v>99.41</v>
      </c>
      <c r="G175" s="18" t="n">
        <f aca="false">IF(F175="","",(E175-F175)/F175)</f>
        <v>-0.00523086208630919</v>
      </c>
      <c r="H175" s="19" t="n">
        <f aca="false">IFERROR(INDEX(Thresholds!$B$2:$B$5,MATCH(C175,Thresholds!$A$2:$A$5,0)),"")</f>
        <v>0.01</v>
      </c>
      <c r="I175" s="20" t="n">
        <f aca="false">IF(F175="","",D175*(E175-F175))</f>
        <v>-7229.55999999995</v>
      </c>
      <c r="J175" s="11" t="str">
        <f aca="false">IF(C175="UNMAPPED","UNMAPPED ASSET CLASS",IF(F175="","NO INDEPENDENT PRICE",IF(ABS(G175)&gt;H175,"BREACH","OK")))</f>
        <v>OK</v>
      </c>
      <c r="K175" s="11" t="str">
        <f aca="false">IF(COUNTIF(Raw_Data!$A$2:A175,Raw_Data!A175)&gt;1,"DUP","UNIQUE")</f>
        <v>UNIQUE</v>
      </c>
      <c r="L175" s="11" t="str">
        <f aca="false">IF(Raw_Data!B175&lt;&gt;Thresholds!$E$1,"STALE","CURRENT")</f>
        <v>CURRENT</v>
      </c>
    </row>
    <row r="176" customFormat="false" ht="15" hidden="false" customHeight="false" outlineLevel="0" collapsed="false">
      <c r="A176" s="15" t="str">
        <f aca="false">Raw_Data!A176</f>
        <v>P0174</v>
      </c>
      <c r="B176" s="15" t="str">
        <f aca="false">Raw_Data!C176</f>
        <v>New York Credit</v>
      </c>
      <c r="C176" s="11" t="str">
        <f aca="false">IFERROR(INDEX(Thresholds!$A$2:$A$5,MATCH(TRIM(Raw_Data!D176),Thresholds!$A$2:$A$5,0)),"UNMAPPED")</f>
        <v>Corporate Bond</v>
      </c>
      <c r="D176" s="16" t="n">
        <f aca="false">Raw_Data!G176</f>
        <v>16222</v>
      </c>
      <c r="E176" s="17" t="n">
        <f aca="false">Raw_Data!H176</f>
        <v>95.501</v>
      </c>
      <c r="F176" s="14" t="n">
        <f aca="false">IF(Raw_Data!I176="","",Raw_Data!I176)</f>
        <v>95.378</v>
      </c>
      <c r="G176" s="18" t="n">
        <f aca="false">IF(F176="","",(E176-F176)/F176)</f>
        <v>0.00128960556941857</v>
      </c>
      <c r="H176" s="19" t="n">
        <f aca="false">IFERROR(INDEX(Thresholds!$B$2:$B$5,MATCH(C176,Thresholds!$A$2:$A$5,0)),"")</f>
        <v>0.005</v>
      </c>
      <c r="I176" s="20" t="n">
        <f aca="false">IF(F176="","",D176*(E176-F176))</f>
        <v>1995.30600000008</v>
      </c>
      <c r="J176" s="11" t="str">
        <f aca="false">IF(C176="UNMAPPED","UNMAPPED ASSET CLASS",IF(F176="","NO INDEPENDENT PRICE",IF(ABS(G176)&gt;H176,"BREACH","OK")))</f>
        <v>OK</v>
      </c>
      <c r="K176" s="11" t="str">
        <f aca="false">IF(COUNTIF(Raw_Data!$A$2:A176,Raw_Data!A176)&gt;1,"DUP","UNIQUE")</f>
        <v>UNIQUE</v>
      </c>
      <c r="L176" s="11" t="str">
        <f aca="false">IF(Raw_Data!B176&lt;&gt;Thresholds!$E$1,"STALE","CURRENT")</f>
        <v>CURRENT</v>
      </c>
    </row>
    <row r="177" customFormat="false" ht="15" hidden="false" customHeight="false" outlineLevel="0" collapsed="false">
      <c r="A177" s="15" t="str">
        <f aca="false">Raw_Data!A177</f>
        <v>P0175</v>
      </c>
      <c r="B177" s="15" t="str">
        <f aca="false">Raw_Data!C177</f>
        <v>New York Rates</v>
      </c>
      <c r="C177" s="11" t="str">
        <f aca="false">IFERROR(INDEX(Thresholds!$A$2:$A$5,MATCH(TRIM(Raw_Data!D177),Thresholds!$A$2:$A$5,0)),"UNMAPPED")</f>
        <v>Government Bond</v>
      </c>
      <c r="D177" s="16" t="n">
        <f aca="false">Raw_Data!G177</f>
        <v>19212</v>
      </c>
      <c r="E177" s="17" t="n">
        <f aca="false">Raw_Data!H177</f>
        <v>98.237</v>
      </c>
      <c r="F177" s="14" t="n">
        <f aca="false">IF(Raw_Data!I177="","",Raw_Data!I177)</f>
        <v>98.404</v>
      </c>
      <c r="G177" s="18" t="n">
        <f aca="false">IF(F177="","",(E177-F177)/F177)</f>
        <v>-0.00169708548432992</v>
      </c>
      <c r="H177" s="19" t="n">
        <f aca="false">IFERROR(INDEX(Thresholds!$B$2:$B$5,MATCH(C177,Thresholds!$A$2:$A$5,0)),"")</f>
        <v>0.0025</v>
      </c>
      <c r="I177" s="20" t="n">
        <f aca="false">IF(F177="","",D177*(E177-F177))</f>
        <v>-3208.40400000003</v>
      </c>
      <c r="J177" s="11" t="str">
        <f aca="false">IF(C177="UNMAPPED","UNMAPPED ASSET CLASS",IF(F177="","NO INDEPENDENT PRICE",IF(ABS(G177)&gt;H177,"BREACH","OK")))</f>
        <v>OK</v>
      </c>
      <c r="K177" s="11" t="str">
        <f aca="false">IF(COUNTIF(Raw_Data!$A$2:A177,Raw_Data!A177)&gt;1,"DUP","UNIQUE")</f>
        <v>UNIQUE</v>
      </c>
      <c r="L177" s="11" t="str">
        <f aca="false">IF(Raw_Data!B177&lt;&gt;Thresholds!$E$1,"STALE","CURRENT")</f>
        <v>CURRENT</v>
      </c>
    </row>
    <row r="178" customFormat="false" ht="15" hidden="false" customHeight="false" outlineLevel="0" collapsed="false">
      <c r="A178" s="15" t="str">
        <f aca="false">Raw_Data!A178</f>
        <v>P0173</v>
      </c>
      <c r="B178" s="15" t="str">
        <f aca="false">Raw_Data!C178</f>
        <v>Singapore Equities</v>
      </c>
      <c r="C178" s="11" t="str">
        <f aca="false">IFERROR(INDEX(Thresholds!$A$2:$A$5,MATCH(TRIM(Raw_Data!D178),Thresholds!$A$2:$A$5,0)),"UNMAPPED")</f>
        <v>Equity</v>
      </c>
      <c r="D178" s="16" t="n">
        <f aca="false">Raw_Data!G178</f>
        <v>13903</v>
      </c>
      <c r="E178" s="17" t="n">
        <f aca="false">Raw_Data!H178</f>
        <v>98.89</v>
      </c>
      <c r="F178" s="14" t="n">
        <f aca="false">IF(Raw_Data!I178="","",Raw_Data!I178)</f>
        <v>99.41</v>
      </c>
      <c r="G178" s="18" t="n">
        <f aca="false">IF(F178="","",(E178-F178)/F178)</f>
        <v>-0.00523086208630919</v>
      </c>
      <c r="H178" s="19" t="n">
        <f aca="false">IFERROR(INDEX(Thresholds!$B$2:$B$5,MATCH(C178,Thresholds!$A$2:$A$5,0)),"")</f>
        <v>0.01</v>
      </c>
      <c r="I178" s="20" t="n">
        <f aca="false">IF(F178="","",D178*(E178-F178))</f>
        <v>-7229.55999999995</v>
      </c>
      <c r="J178" s="11" t="str">
        <f aca="false">IF(C178="UNMAPPED","UNMAPPED ASSET CLASS",IF(F178="","NO INDEPENDENT PRICE",IF(ABS(G178)&gt;H178,"BREACH","OK")))</f>
        <v>OK</v>
      </c>
      <c r="K178" s="11" t="str">
        <f aca="false">IF(COUNTIF(Raw_Data!$A$2:A178,Raw_Data!A178)&gt;1,"DUP","UNIQUE")</f>
        <v>DUP</v>
      </c>
      <c r="L178" s="11" t="str">
        <f aca="false">IF(Raw_Data!B178&lt;&gt;Thresholds!$E$1,"STALE","CURRENT")</f>
        <v>CURRENT</v>
      </c>
    </row>
    <row r="179" customFormat="false" ht="15" hidden="false" customHeight="false" outlineLevel="0" collapsed="false">
      <c r="A179" s="15" t="str">
        <f aca="false">Raw_Data!A179</f>
        <v>P0176</v>
      </c>
      <c r="B179" s="15" t="str">
        <f aca="false">Raw_Data!C179</f>
        <v>Zurich Equities</v>
      </c>
      <c r="C179" s="11" t="str">
        <f aca="false">IFERROR(INDEX(Thresholds!$A$2:$A$5,MATCH(TRIM(Raw_Data!D179),Thresholds!$A$2:$A$5,0)),"UNMAPPED")</f>
        <v>Equity</v>
      </c>
      <c r="D179" s="16" t="n">
        <f aca="false">Raw_Data!G179</f>
        <v>45199</v>
      </c>
      <c r="E179" s="17" t="n">
        <f aca="false">Raw_Data!H179</f>
        <v>149.43</v>
      </c>
      <c r="F179" s="14" t="n">
        <f aca="false">IF(Raw_Data!I179="","",Raw_Data!I179)</f>
        <v>149.64</v>
      </c>
      <c r="G179" s="18" t="n">
        <f aca="false">IF(F179="","",(E179-F179)/F179)</f>
        <v>-0.00140336808340002</v>
      </c>
      <c r="H179" s="19" t="n">
        <f aca="false">IFERROR(INDEX(Thresholds!$B$2:$B$5,MATCH(C179,Thresholds!$A$2:$A$5,0)),"")</f>
        <v>0.01</v>
      </c>
      <c r="I179" s="20" t="n">
        <f aca="false">IF(F179="","",D179*(E179-F179))</f>
        <v>-9491.78999999908</v>
      </c>
      <c r="J179" s="11" t="str">
        <f aca="false">IF(C179="UNMAPPED","UNMAPPED ASSET CLASS",IF(F179="","NO INDEPENDENT PRICE",IF(ABS(G179)&gt;H179,"BREACH","OK")))</f>
        <v>OK</v>
      </c>
      <c r="K179" s="11" t="str">
        <f aca="false">IF(COUNTIF(Raw_Data!$A$2:A179,Raw_Data!A179)&gt;1,"DUP","UNIQUE")</f>
        <v>UNIQUE</v>
      </c>
      <c r="L179" s="11" t="str">
        <f aca="false">IF(Raw_Data!B179&lt;&gt;Thresholds!$E$1,"STALE","CURRENT")</f>
        <v>CURRENT</v>
      </c>
    </row>
    <row r="180" customFormat="false" ht="15" hidden="false" customHeight="false" outlineLevel="0" collapsed="false">
      <c r="A180" s="15" t="str">
        <f aca="false">Raw_Data!A180</f>
        <v>P0177</v>
      </c>
      <c r="B180" s="15" t="str">
        <f aca="false">Raw_Data!C180</f>
        <v>New York Rates</v>
      </c>
      <c r="C180" s="11" t="str">
        <f aca="false">IFERROR(INDEX(Thresholds!$A$2:$A$5,MATCH(TRIM(Raw_Data!D180),Thresholds!$A$2:$A$5,0)),"UNMAPPED")</f>
        <v>Government Bond</v>
      </c>
      <c r="D180" s="16" t="n">
        <f aca="false">Raw_Data!G180</f>
        <v>17083</v>
      </c>
      <c r="E180" s="17" t="n">
        <f aca="false">Raw_Data!H180</f>
        <v>101.167</v>
      </c>
      <c r="F180" s="14" t="n">
        <f aca="false">IF(Raw_Data!I180="","",Raw_Data!I180)</f>
        <v>101.096</v>
      </c>
      <c r="G180" s="18" t="n">
        <f aca="false">IF(F180="","",(E180-F180)/F180)</f>
        <v>0.000702302761731403</v>
      </c>
      <c r="H180" s="19" t="n">
        <f aca="false">IFERROR(INDEX(Thresholds!$B$2:$B$5,MATCH(C180,Thresholds!$A$2:$A$5,0)),"")</f>
        <v>0.0025</v>
      </c>
      <c r="I180" s="20" t="n">
        <f aca="false">IF(F180="","",D180*(E180-F180))</f>
        <v>1212.89299999997</v>
      </c>
      <c r="J180" s="11" t="str">
        <f aca="false">IF(C180="UNMAPPED","UNMAPPED ASSET CLASS",IF(F180="","NO INDEPENDENT PRICE",IF(ABS(G180)&gt;H180,"BREACH","OK")))</f>
        <v>OK</v>
      </c>
      <c r="K180" s="11" t="str">
        <f aca="false">IF(COUNTIF(Raw_Data!$A$2:A180,Raw_Data!A180)&gt;1,"DUP","UNIQUE")</f>
        <v>UNIQUE</v>
      </c>
      <c r="L180" s="11" t="str">
        <f aca="false">IF(Raw_Data!B180&lt;&gt;Thresholds!$E$1,"STALE","CURRENT")</f>
        <v>CURRENT</v>
      </c>
    </row>
    <row r="181" customFormat="false" ht="15" hidden="false" customHeight="false" outlineLevel="0" collapsed="false">
      <c r="A181" s="15" t="str">
        <f aca="false">Raw_Data!A181</f>
        <v>P0165</v>
      </c>
      <c r="B181" s="15" t="str">
        <f aca="false">Raw_Data!C181</f>
        <v>London Credit</v>
      </c>
      <c r="C181" s="11" t="str">
        <f aca="false">IFERROR(INDEX(Thresholds!$A$2:$A$5,MATCH(TRIM(Raw_Data!D181),Thresholds!$A$2:$A$5,0)),"UNMAPPED")</f>
        <v>Corporate Bond</v>
      </c>
      <c r="D181" s="16" t="n">
        <f aca="false">Raw_Data!G181</f>
        <v>5534</v>
      </c>
      <c r="E181" s="17" t="n">
        <f aca="false">Raw_Data!H181</f>
        <v>96.347</v>
      </c>
      <c r="F181" s="14" t="n">
        <f aca="false">IF(Raw_Data!I181="","",Raw_Data!I181)</f>
        <v>96.475</v>
      </c>
      <c r="G181" s="18" t="n">
        <f aca="false">IF(F181="","",(E181-F181)/F181)</f>
        <v>-0.00132676859289972</v>
      </c>
      <c r="H181" s="19" t="n">
        <f aca="false">IFERROR(INDEX(Thresholds!$B$2:$B$5,MATCH(C181,Thresholds!$A$2:$A$5,0)),"")</f>
        <v>0.005</v>
      </c>
      <c r="I181" s="20" t="n">
        <f aca="false">IF(F181="","",D181*(E181-F181))</f>
        <v>-708.352000000001</v>
      </c>
      <c r="J181" s="11" t="str">
        <f aca="false">IF(C181="UNMAPPED","UNMAPPED ASSET CLASS",IF(F181="","NO INDEPENDENT PRICE",IF(ABS(G181)&gt;H181,"BREACH","OK")))</f>
        <v>OK</v>
      </c>
      <c r="K181" s="11" t="str">
        <f aca="false">IF(COUNTIF(Raw_Data!$A$2:A181,Raw_Data!A181)&gt;1,"DUP","UNIQUE")</f>
        <v>DUP</v>
      </c>
      <c r="L181" s="11" t="str">
        <f aca="false">IF(Raw_Data!B181&lt;&gt;Thresholds!$E$1,"STALE","CURRENT")</f>
        <v>CURRENT</v>
      </c>
    </row>
    <row r="182" customFormat="false" ht="15" hidden="false" customHeight="false" outlineLevel="0" collapsed="false">
      <c r="A182" s="15" t="str">
        <f aca="false">Raw_Data!A182</f>
        <v>P0178</v>
      </c>
      <c r="B182" s="15" t="str">
        <f aca="false">Raw_Data!C182</f>
        <v>Singapore Equities</v>
      </c>
      <c r="C182" s="11" t="str">
        <f aca="false">IFERROR(INDEX(Thresholds!$A$2:$A$5,MATCH(TRIM(Raw_Data!D182),Thresholds!$A$2:$A$5,0)),"UNMAPPED")</f>
        <v>Equity</v>
      </c>
      <c r="D182" s="16" t="n">
        <f aca="false">Raw_Data!G182</f>
        <v>25686</v>
      </c>
      <c r="E182" s="17" t="n">
        <f aca="false">Raw_Data!H182</f>
        <v>272.68</v>
      </c>
      <c r="F182" s="14" t="n">
        <f aca="false">IF(Raw_Data!I182="","",Raw_Data!I182)</f>
        <v>272.63</v>
      </c>
      <c r="G182" s="18" t="n">
        <f aca="false">IF(F182="","",(E182-F182)/F182)</f>
        <v>0.000183398745552622</v>
      </c>
      <c r="H182" s="19" t="n">
        <f aca="false">IFERROR(INDEX(Thresholds!$B$2:$B$5,MATCH(C182,Thresholds!$A$2:$A$5,0)),"")</f>
        <v>0.01</v>
      </c>
      <c r="I182" s="20" t="n">
        <f aca="false">IF(F182="","",D182*(E182-F182))</f>
        <v>1284.30000000029</v>
      </c>
      <c r="J182" s="11" t="str">
        <f aca="false">IF(C182="UNMAPPED","UNMAPPED ASSET CLASS",IF(F182="","NO INDEPENDENT PRICE",IF(ABS(G182)&gt;H182,"BREACH","OK")))</f>
        <v>OK</v>
      </c>
      <c r="K182" s="11" t="str">
        <f aca="false">IF(COUNTIF(Raw_Data!$A$2:A182,Raw_Data!A182)&gt;1,"DUP","UNIQUE")</f>
        <v>UNIQUE</v>
      </c>
      <c r="L182" s="11" t="str">
        <f aca="false">IF(Raw_Data!B182&lt;&gt;Thresholds!$E$1,"STALE","CURRENT")</f>
        <v>CURRENT</v>
      </c>
    </row>
    <row r="183" customFormat="false" ht="15" hidden="false" customHeight="false" outlineLevel="0" collapsed="false">
      <c r="A183" s="15" t="str">
        <f aca="false">Raw_Data!A183</f>
        <v>P0179</v>
      </c>
      <c r="B183" s="15" t="str">
        <f aca="false">Raw_Data!C183</f>
        <v>New York Rates</v>
      </c>
      <c r="C183" s="11" t="str">
        <f aca="false">IFERROR(INDEX(Thresholds!$A$2:$A$5,MATCH(TRIM(Raw_Data!D183),Thresholds!$A$2:$A$5,0)),"UNMAPPED")</f>
        <v>Government Bond</v>
      </c>
      <c r="D183" s="16" t="n">
        <f aca="false">Raw_Data!G183</f>
        <v>16232</v>
      </c>
      <c r="E183" s="17" t="n">
        <f aca="false">Raw_Data!H183</f>
        <v>100.927</v>
      </c>
      <c r="F183" s="14" t="n">
        <f aca="false">IF(Raw_Data!I183="","",Raw_Data!I183)</f>
        <v>100.775</v>
      </c>
      <c r="G183" s="18" t="n">
        <f aca="false">IF(F183="","",(E183-F183)/F183)</f>
        <v>0.001508310592905</v>
      </c>
      <c r="H183" s="19" t="n">
        <f aca="false">IFERROR(INDEX(Thresholds!$B$2:$B$5,MATCH(C183,Thresholds!$A$2:$A$5,0)),"")</f>
        <v>0.0025</v>
      </c>
      <c r="I183" s="20" t="n">
        <f aca="false">IF(F183="","",D183*(E183-F183))</f>
        <v>2467.26400000002</v>
      </c>
      <c r="J183" s="11" t="str">
        <f aca="false">IF(C183="UNMAPPED","UNMAPPED ASSET CLASS",IF(F183="","NO INDEPENDENT PRICE",IF(ABS(G183)&gt;H183,"BREACH","OK")))</f>
        <v>OK</v>
      </c>
      <c r="K183" s="11" t="str">
        <f aca="false">IF(COUNTIF(Raw_Data!$A$2:A183,Raw_Data!A183)&gt;1,"DUP","UNIQUE")</f>
        <v>UNIQUE</v>
      </c>
      <c r="L183" s="11" t="str">
        <f aca="false">IF(Raw_Data!B183&lt;&gt;Thresholds!$E$1,"STALE","CURRENT")</f>
        <v>CURRENT</v>
      </c>
    </row>
    <row r="184" customFormat="false" ht="15" hidden="false" customHeight="false" outlineLevel="0" collapsed="false">
      <c r="A184" s="15" t="str">
        <f aca="false">Raw_Data!A184</f>
        <v>P0180</v>
      </c>
      <c r="B184" s="15" t="str">
        <f aca="false">Raw_Data!C184</f>
        <v>Zurich FX</v>
      </c>
      <c r="C184" s="11" t="str">
        <f aca="false">IFERROR(INDEX(Thresholds!$A$2:$A$5,MATCH(TRIM(Raw_Data!D184),Thresholds!$A$2:$A$5,0)),"UNMAPPED")</f>
        <v>FX Forward</v>
      </c>
      <c r="D184" s="16" t="n">
        <f aca="false">Raw_Data!G184</f>
        <v>178831</v>
      </c>
      <c r="E184" s="17" t="n">
        <f aca="false">Raw_Data!H184</f>
        <v>1.06115</v>
      </c>
      <c r="F184" s="14" t="n">
        <f aca="false">IF(Raw_Data!I184="","",Raw_Data!I184)</f>
        <v>1.06118</v>
      </c>
      <c r="G184" s="18" t="n">
        <f aca="false">IF(F184="","",(E184-F184)/F184)</f>
        <v>-2.82704159520293E-005</v>
      </c>
      <c r="H184" s="19" t="n">
        <f aca="false">IFERROR(INDEX(Thresholds!$B$2:$B$5,MATCH(C184,Thresholds!$A$2:$A$5,0)),"")</f>
        <v>0.003</v>
      </c>
      <c r="I184" s="20" t="n">
        <f aca="false">IF(F184="","",D184*(E184-F184))</f>
        <v>-5.36492999999544</v>
      </c>
      <c r="J184" s="11" t="str">
        <f aca="false">IF(C184="UNMAPPED","UNMAPPED ASSET CLASS",IF(F184="","NO INDEPENDENT PRICE",IF(ABS(G184)&gt;H184,"BREACH","OK")))</f>
        <v>OK</v>
      </c>
      <c r="K184" s="11" t="str">
        <f aca="false">IF(COUNTIF(Raw_Data!$A$2:A184,Raw_Data!A184)&gt;1,"DUP","UNIQUE")</f>
        <v>UNIQUE</v>
      </c>
      <c r="L184" s="11" t="str">
        <f aca="false">IF(Raw_Data!B184&lt;&gt;Thresholds!$E$1,"STALE","CURRENT")</f>
        <v>CURRENT</v>
      </c>
    </row>
    <row r="185" customFormat="false" ht="15" hidden="false" customHeight="false" outlineLevel="0" collapsed="false">
      <c r="A185" s="15" t="str">
        <f aca="false">Raw_Data!A185</f>
        <v>P0181</v>
      </c>
      <c r="B185" s="15" t="str">
        <f aca="false">Raw_Data!C185</f>
        <v>London Credit</v>
      </c>
      <c r="C185" s="11" t="str">
        <f aca="false">IFERROR(INDEX(Thresholds!$A$2:$A$5,MATCH(TRIM(Raw_Data!D185),Thresholds!$A$2:$A$5,0)),"UNMAPPED")</f>
        <v>Corporate Bond</v>
      </c>
      <c r="D185" s="16" t="n">
        <f aca="false">Raw_Data!G185</f>
        <v>7532</v>
      </c>
      <c r="E185" s="17" t="n">
        <f aca="false">Raw_Data!H185</f>
        <v>107.194</v>
      </c>
      <c r="F185" s="14" t="n">
        <f aca="false">IF(Raw_Data!I185="","",Raw_Data!I185)</f>
        <v>106.881</v>
      </c>
      <c r="G185" s="18" t="n">
        <f aca="false">IF(F185="","",(E185-F185)/F185)</f>
        <v>0.00292849056427244</v>
      </c>
      <c r="H185" s="19" t="n">
        <f aca="false">IFERROR(INDEX(Thresholds!$B$2:$B$5,MATCH(C185,Thresholds!$A$2:$A$5,0)),"")</f>
        <v>0.005</v>
      </c>
      <c r="I185" s="20" t="n">
        <f aca="false">IF(F185="","",D185*(E185-F185))</f>
        <v>2357.51600000002</v>
      </c>
      <c r="J185" s="11" t="str">
        <f aca="false">IF(C185="UNMAPPED","UNMAPPED ASSET CLASS",IF(F185="","NO INDEPENDENT PRICE",IF(ABS(G185)&gt;H185,"BREACH","OK")))</f>
        <v>OK</v>
      </c>
      <c r="K185" s="11" t="str">
        <f aca="false">IF(COUNTIF(Raw_Data!$A$2:A185,Raw_Data!A185)&gt;1,"DUP","UNIQUE")</f>
        <v>UNIQUE</v>
      </c>
      <c r="L185" s="11" t="str">
        <f aca="false">IF(Raw_Data!B185&lt;&gt;Thresholds!$E$1,"STALE","CURRENT")</f>
        <v>CURRENT</v>
      </c>
    </row>
    <row r="186" customFormat="false" ht="15" hidden="false" customHeight="false" outlineLevel="0" collapsed="false">
      <c r="A186" s="15" t="str">
        <f aca="false">Raw_Data!A186</f>
        <v>P0182</v>
      </c>
      <c r="B186" s="15" t="str">
        <f aca="false">Raw_Data!C186</f>
        <v>New York Rates</v>
      </c>
      <c r="C186" s="11" t="str">
        <f aca="false">IFERROR(INDEX(Thresholds!$A$2:$A$5,MATCH(TRIM(Raw_Data!D186),Thresholds!$A$2:$A$5,0)),"UNMAPPED")</f>
        <v>Government Bond</v>
      </c>
      <c r="D186" s="16" t="n">
        <f aca="false">Raw_Data!G186</f>
        <v>15771</v>
      </c>
      <c r="E186" s="17" t="n">
        <f aca="false">Raw_Data!H186</f>
        <v>102.814</v>
      </c>
      <c r="F186" s="14" t="n">
        <f aca="false">IF(Raw_Data!I186="","",Raw_Data!I186)</f>
        <v>102.793</v>
      </c>
      <c r="G186" s="18" t="n">
        <f aca="false">IF(F186="","",(E186-F186)/F186)</f>
        <v>0.000204294066716475</v>
      </c>
      <c r="H186" s="19" t="n">
        <f aca="false">IFERROR(INDEX(Thresholds!$B$2:$B$5,MATCH(C186,Thresholds!$A$2:$A$5,0)),"")</f>
        <v>0.0025</v>
      </c>
      <c r="I186" s="20" t="n">
        <f aca="false">IF(F186="","",D186*(E186-F186))</f>
        <v>331.190999999788</v>
      </c>
      <c r="J186" s="11" t="str">
        <f aca="false">IF(C186="UNMAPPED","UNMAPPED ASSET CLASS",IF(F186="","NO INDEPENDENT PRICE",IF(ABS(G186)&gt;H186,"BREACH","OK")))</f>
        <v>OK</v>
      </c>
      <c r="K186" s="11" t="str">
        <f aca="false">IF(COUNTIF(Raw_Data!$A$2:A186,Raw_Data!A186)&gt;1,"DUP","UNIQUE")</f>
        <v>UNIQUE</v>
      </c>
      <c r="L186" s="11" t="str">
        <f aca="false">IF(Raw_Data!B186&lt;&gt;Thresholds!$E$1,"STALE","CURRENT")</f>
        <v>CURRENT</v>
      </c>
    </row>
    <row r="187" customFormat="false" ht="15" hidden="false" customHeight="false" outlineLevel="0" collapsed="false">
      <c r="A187" s="15" t="str">
        <f aca="false">Raw_Data!A187</f>
        <v>P0183</v>
      </c>
      <c r="B187" s="15" t="str">
        <f aca="false">Raw_Data!C187</f>
        <v>Singapore Equities</v>
      </c>
      <c r="C187" s="11" t="str">
        <f aca="false">IFERROR(INDEX(Thresholds!$A$2:$A$5,MATCH(TRIM(Raw_Data!D187),Thresholds!$A$2:$A$5,0)),"UNMAPPED")</f>
        <v>Equity</v>
      </c>
      <c r="D187" s="16" t="n">
        <f aca="false">Raw_Data!G187</f>
        <v>6178</v>
      </c>
      <c r="E187" s="17" t="n">
        <f aca="false">Raw_Data!H187</f>
        <v>63.53</v>
      </c>
      <c r="F187" s="14" t="n">
        <f aca="false">IF(Raw_Data!I187="","",Raw_Data!I187)</f>
        <v>63.25</v>
      </c>
      <c r="G187" s="18" t="n">
        <f aca="false">IF(F187="","",(E187-F187)/F187)</f>
        <v>0.00442687747035575</v>
      </c>
      <c r="H187" s="19" t="n">
        <f aca="false">IFERROR(INDEX(Thresholds!$B$2:$B$5,MATCH(C187,Thresholds!$A$2:$A$5,0)),"")</f>
        <v>0.01</v>
      </c>
      <c r="I187" s="20" t="n">
        <f aca="false">IF(F187="","",D187*(E187-F187))</f>
        <v>1729.84000000001</v>
      </c>
      <c r="J187" s="11" t="str">
        <f aca="false">IF(C187="UNMAPPED","UNMAPPED ASSET CLASS",IF(F187="","NO INDEPENDENT PRICE",IF(ABS(G187)&gt;H187,"BREACH","OK")))</f>
        <v>OK</v>
      </c>
      <c r="K187" s="11" t="str">
        <f aca="false">IF(COUNTIF(Raw_Data!$A$2:A187,Raw_Data!A187)&gt;1,"DUP","UNIQUE")</f>
        <v>UNIQUE</v>
      </c>
      <c r="L187" s="11" t="str">
        <f aca="false">IF(Raw_Data!B187&lt;&gt;Thresholds!$E$1,"STALE","CURRENT")</f>
        <v>CURRENT</v>
      </c>
    </row>
    <row r="188" customFormat="false" ht="15" hidden="false" customHeight="false" outlineLevel="0" collapsed="false">
      <c r="A188" s="15" t="str">
        <f aca="false">Raw_Data!A188</f>
        <v>P0184</v>
      </c>
      <c r="B188" s="15" t="str">
        <f aca="false">Raw_Data!C188</f>
        <v>New York Credit</v>
      </c>
      <c r="C188" s="11" t="str">
        <f aca="false">IFERROR(INDEX(Thresholds!$A$2:$A$5,MATCH(TRIM(Raw_Data!D188),Thresholds!$A$2:$A$5,0)),"UNMAPPED")</f>
        <v>Corporate Bond</v>
      </c>
      <c r="D188" s="16" t="n">
        <f aca="false">Raw_Data!G188</f>
        <v>19314</v>
      </c>
      <c r="E188" s="17" t="n">
        <f aca="false">Raw_Data!H188</f>
        <v>94.133</v>
      </c>
      <c r="F188" s="14" t="n">
        <f aca="false">IF(Raw_Data!I188="","",Raw_Data!I188)</f>
        <v>94.416</v>
      </c>
      <c r="G188" s="18" t="n">
        <f aca="false">IF(F188="","",(E188-F188)/F188)</f>
        <v>-0.00299737332655483</v>
      </c>
      <c r="H188" s="19" t="n">
        <f aca="false">IFERROR(INDEX(Thresholds!$B$2:$B$5,MATCH(C188,Thresholds!$A$2:$A$5,0)),"")</f>
        <v>0.005</v>
      </c>
      <c r="I188" s="20" t="n">
        <f aca="false">IF(F188="","",D188*(E188-F188))</f>
        <v>-5465.86200000002</v>
      </c>
      <c r="J188" s="11" t="str">
        <f aca="false">IF(C188="UNMAPPED","UNMAPPED ASSET CLASS",IF(F188="","NO INDEPENDENT PRICE",IF(ABS(G188)&gt;H188,"BREACH","OK")))</f>
        <v>OK</v>
      </c>
      <c r="K188" s="11" t="str">
        <f aca="false">IF(COUNTIF(Raw_Data!$A$2:A188,Raw_Data!A188)&gt;1,"DUP","UNIQUE")</f>
        <v>UNIQUE</v>
      </c>
      <c r="L188" s="11" t="str">
        <f aca="false">IF(Raw_Data!B188&lt;&gt;Thresholds!$E$1,"STALE","CURRENT")</f>
        <v>CURRENT</v>
      </c>
    </row>
    <row r="189" customFormat="false" ht="15" hidden="false" customHeight="false" outlineLevel="0" collapsed="false">
      <c r="A189" s="15" t="str">
        <f aca="false">Raw_Data!A189</f>
        <v>P0185</v>
      </c>
      <c r="B189" s="15" t="str">
        <f aca="false">Raw_Data!C189</f>
        <v>Singapore Equities</v>
      </c>
      <c r="C189" s="11" t="str">
        <f aca="false">IFERROR(INDEX(Thresholds!$A$2:$A$5,MATCH(TRIM(Raw_Data!D189),Thresholds!$A$2:$A$5,0)),"UNMAPPED")</f>
        <v>Equity</v>
      </c>
      <c r="D189" s="16" t="n">
        <f aca="false">Raw_Data!G189</f>
        <v>19545</v>
      </c>
      <c r="E189" s="17" t="n">
        <f aca="false">Raw_Data!H189</f>
        <v>63.34</v>
      </c>
      <c r="F189" s="14" t="n">
        <f aca="false">IF(Raw_Data!I189="","",Raw_Data!I189)</f>
        <v>62.46</v>
      </c>
      <c r="G189" s="18" t="n">
        <f aca="false">IF(F189="","",(E189-F189)/F189)</f>
        <v>0.0140890169708614</v>
      </c>
      <c r="H189" s="19" t="n">
        <f aca="false">IFERROR(INDEX(Thresholds!$B$2:$B$5,MATCH(C189,Thresholds!$A$2:$A$5,0)),"")</f>
        <v>0.01</v>
      </c>
      <c r="I189" s="20" t="n">
        <f aca="false">IF(F189="","",D189*(E189-F189))</f>
        <v>17199.6000000001</v>
      </c>
      <c r="J189" s="11" t="str">
        <f aca="false">IF(C189="UNMAPPED","UNMAPPED ASSET CLASS",IF(F189="","NO INDEPENDENT PRICE",IF(ABS(G189)&gt;H189,"BREACH","OK")))</f>
        <v>BREACH</v>
      </c>
      <c r="K189" s="11" t="str">
        <f aca="false">IF(COUNTIF(Raw_Data!$A$2:A189,Raw_Data!A189)&gt;1,"DUP","UNIQUE")</f>
        <v>UNIQUE</v>
      </c>
      <c r="L189" s="11" t="str">
        <f aca="false">IF(Raw_Data!B189&lt;&gt;Thresholds!$E$1,"STALE","CURRENT")</f>
        <v>CURRENT</v>
      </c>
    </row>
    <row r="190" customFormat="false" ht="15" hidden="false" customHeight="false" outlineLevel="0" collapsed="false">
      <c r="A190" s="15" t="str">
        <f aca="false">Raw_Data!A190</f>
        <v>P0186</v>
      </c>
      <c r="B190" s="15" t="str">
        <f aca="false">Raw_Data!C190</f>
        <v>London Rates</v>
      </c>
      <c r="C190" s="11" t="str">
        <f aca="false">IFERROR(INDEX(Thresholds!$A$2:$A$5,MATCH(TRIM(Raw_Data!D190),Thresholds!$A$2:$A$5,0)),"UNMAPPED")</f>
        <v>Government Bond</v>
      </c>
      <c r="D190" s="16" t="n">
        <f aca="false">Raw_Data!G190</f>
        <v>3339</v>
      </c>
      <c r="E190" s="17" t="n">
        <f aca="false">Raw_Data!H190</f>
        <v>101.181</v>
      </c>
      <c r="F190" s="14" t="n">
        <f aca="false">IF(Raw_Data!I190="","",Raw_Data!I190)</f>
        <v>101.022</v>
      </c>
      <c r="G190" s="18" t="n">
        <f aca="false">IF(F190="","",(E190-F190)/F190)</f>
        <v>0.00157391459286088</v>
      </c>
      <c r="H190" s="19" t="n">
        <f aca="false">IFERROR(INDEX(Thresholds!$B$2:$B$5,MATCH(C190,Thresholds!$A$2:$A$5,0)),"")</f>
        <v>0.0025</v>
      </c>
      <c r="I190" s="20" t="n">
        <f aca="false">IF(F190="","",D190*(E190-F190))</f>
        <v>530.900999999973</v>
      </c>
      <c r="J190" s="11" t="str">
        <f aca="false">IF(C190="UNMAPPED","UNMAPPED ASSET CLASS",IF(F190="","NO INDEPENDENT PRICE",IF(ABS(G190)&gt;H190,"BREACH","OK")))</f>
        <v>OK</v>
      </c>
      <c r="K190" s="11" t="str">
        <f aca="false">IF(COUNTIF(Raw_Data!$A$2:A190,Raw_Data!A190)&gt;1,"DUP","UNIQUE")</f>
        <v>UNIQUE</v>
      </c>
      <c r="L190" s="11" t="str">
        <f aca="false">IF(Raw_Data!B190&lt;&gt;Thresholds!$E$1,"STALE","CURRENT")</f>
        <v>CURRENT</v>
      </c>
    </row>
    <row r="191" customFormat="false" ht="15" hidden="false" customHeight="false" outlineLevel="0" collapsed="false">
      <c r="A191" s="15" t="str">
        <f aca="false">Raw_Data!A191</f>
        <v>P0187</v>
      </c>
      <c r="B191" s="15" t="str">
        <f aca="false">Raw_Data!C191</f>
        <v>Zurich Equities</v>
      </c>
      <c r="C191" s="11" t="str">
        <f aca="false">IFERROR(INDEX(Thresholds!$A$2:$A$5,MATCH(TRIM(Raw_Data!D191),Thresholds!$A$2:$A$5,0)),"UNMAPPED")</f>
        <v>Equity</v>
      </c>
      <c r="D191" s="16" t="n">
        <f aca="false">Raw_Data!G191</f>
        <v>7607</v>
      </c>
      <c r="E191" s="17" t="n">
        <f aca="false">Raw_Data!H191</f>
        <v>210.48</v>
      </c>
      <c r="F191" s="14" t="n">
        <f aca="false">IF(Raw_Data!I191="","",Raw_Data!I191)</f>
        <v>211.15</v>
      </c>
      <c r="G191" s="18" t="n">
        <f aca="false">IF(F191="","",(E191-F191)/F191)</f>
        <v>-0.00317309969216205</v>
      </c>
      <c r="H191" s="19" t="n">
        <f aca="false">IFERROR(INDEX(Thresholds!$B$2:$B$5,MATCH(C191,Thresholds!$A$2:$A$5,0)),"")</f>
        <v>0.01</v>
      </c>
      <c r="I191" s="20" t="n">
        <f aca="false">IF(F191="","",D191*(E191-F191))</f>
        <v>-5096.69000000012</v>
      </c>
      <c r="J191" s="11" t="str">
        <f aca="false">IF(C191="UNMAPPED","UNMAPPED ASSET CLASS",IF(F191="","NO INDEPENDENT PRICE",IF(ABS(G191)&gt;H191,"BREACH","OK")))</f>
        <v>OK</v>
      </c>
      <c r="K191" s="11" t="str">
        <f aca="false">IF(COUNTIF(Raw_Data!$A$2:A191,Raw_Data!A191)&gt;1,"DUP","UNIQUE")</f>
        <v>UNIQUE</v>
      </c>
      <c r="L191" s="11" t="str">
        <f aca="false">IF(Raw_Data!B191&lt;&gt;Thresholds!$E$1,"STALE","CURRENT")</f>
        <v>CURRENT</v>
      </c>
    </row>
    <row r="192" customFormat="false" ht="15" hidden="false" customHeight="false" outlineLevel="0" collapsed="false">
      <c r="A192" s="15" t="str">
        <f aca="false">Raw_Data!A192</f>
        <v>P0188</v>
      </c>
      <c r="B192" s="15" t="str">
        <f aca="false">Raw_Data!C192</f>
        <v>New York Credit</v>
      </c>
      <c r="C192" s="11" t="str">
        <f aca="false">IFERROR(INDEX(Thresholds!$A$2:$A$5,MATCH(TRIM(Raw_Data!D192),Thresholds!$A$2:$A$5,0)),"UNMAPPED")</f>
        <v>Corporate Bond</v>
      </c>
      <c r="D192" s="16" t="n">
        <f aca="false">Raw_Data!G192</f>
        <v>17692</v>
      </c>
      <c r="E192" s="17" t="n">
        <f aca="false">Raw_Data!H192</f>
        <v>97.618</v>
      </c>
      <c r="F192" s="14" t="n">
        <f aca="false">IF(Raw_Data!I192="","",Raw_Data!I192)</f>
        <v>97.414</v>
      </c>
      <c r="G192" s="18" t="n">
        <f aca="false">IF(F192="","",(E192-F192)/F192)</f>
        <v>0.00209415484427283</v>
      </c>
      <c r="H192" s="19" t="n">
        <f aca="false">IFERROR(INDEX(Thresholds!$B$2:$B$5,MATCH(C192,Thresholds!$A$2:$A$5,0)),"")</f>
        <v>0.005</v>
      </c>
      <c r="I192" s="20" t="n">
        <f aca="false">IF(F192="","",D192*(E192-F192))</f>
        <v>3609.16799999989</v>
      </c>
      <c r="J192" s="11" t="str">
        <f aca="false">IF(C192="UNMAPPED","UNMAPPED ASSET CLASS",IF(F192="","NO INDEPENDENT PRICE",IF(ABS(G192)&gt;H192,"BREACH","OK")))</f>
        <v>OK</v>
      </c>
      <c r="K192" s="11" t="str">
        <f aca="false">IF(COUNTIF(Raw_Data!$A$2:A192,Raw_Data!A192)&gt;1,"DUP","UNIQUE")</f>
        <v>UNIQUE</v>
      </c>
      <c r="L192" s="11" t="str">
        <f aca="false">IF(Raw_Data!B192&lt;&gt;Thresholds!$E$1,"STALE","CURRENT")</f>
        <v>CURRENT</v>
      </c>
    </row>
    <row r="193" customFormat="false" ht="15" hidden="false" customHeight="false" outlineLevel="0" collapsed="false">
      <c r="A193" s="15" t="str">
        <f aca="false">Raw_Data!A193</f>
        <v>P0189</v>
      </c>
      <c r="B193" s="15" t="str">
        <f aca="false">Raw_Data!C193</f>
        <v>London Rates</v>
      </c>
      <c r="C193" s="11" t="str">
        <f aca="false">IFERROR(INDEX(Thresholds!$A$2:$A$5,MATCH(TRIM(Raw_Data!D193),Thresholds!$A$2:$A$5,0)),"UNMAPPED")</f>
        <v>Government Bond</v>
      </c>
      <c r="D193" s="16" t="n">
        <f aca="false">Raw_Data!G193</f>
        <v>7260</v>
      </c>
      <c r="E193" s="17" t="n">
        <f aca="false">Raw_Data!H193</f>
        <v>100.133</v>
      </c>
      <c r="F193" s="14" t="n">
        <f aca="false">IF(Raw_Data!I193="","",Raw_Data!I193)</f>
        <v>100.25</v>
      </c>
      <c r="G193" s="18" t="n">
        <f aca="false">IF(F193="","",(E193-F193)/F193)</f>
        <v>-0.00116708229426438</v>
      </c>
      <c r="H193" s="19" t="n">
        <f aca="false">IFERROR(INDEX(Thresholds!$B$2:$B$5,MATCH(C193,Thresholds!$A$2:$A$5,0)),"")</f>
        <v>0.0025</v>
      </c>
      <c r="I193" s="20" t="n">
        <f aca="false">IF(F193="","",D193*(E193-F193))</f>
        <v>-849.420000000032</v>
      </c>
      <c r="J193" s="11" t="str">
        <f aca="false">IF(C193="UNMAPPED","UNMAPPED ASSET CLASS",IF(F193="","NO INDEPENDENT PRICE",IF(ABS(G193)&gt;H193,"BREACH","OK")))</f>
        <v>OK</v>
      </c>
      <c r="K193" s="11" t="str">
        <f aca="false">IF(COUNTIF(Raw_Data!$A$2:A193,Raw_Data!A193)&gt;1,"DUP","UNIQUE")</f>
        <v>UNIQUE</v>
      </c>
      <c r="L193" s="11" t="str">
        <f aca="false">IF(Raw_Data!B193&lt;&gt;Thresholds!$E$1,"STALE","CURRENT")</f>
        <v>CURRENT</v>
      </c>
    </row>
    <row r="194" customFormat="false" ht="15" hidden="false" customHeight="false" outlineLevel="0" collapsed="false">
      <c r="A194" s="15" t="str">
        <f aca="false">Raw_Data!A194</f>
        <v>P0190</v>
      </c>
      <c r="B194" s="15" t="str">
        <f aca="false">Raw_Data!C194</f>
        <v>London Credit</v>
      </c>
      <c r="C194" s="11" t="str">
        <f aca="false">IFERROR(INDEX(Thresholds!$A$2:$A$5,MATCH(TRIM(Raw_Data!D194),Thresholds!$A$2:$A$5,0)),"UNMAPPED")</f>
        <v>Corporate Bond</v>
      </c>
      <c r="D194" s="16" t="n">
        <f aca="false">Raw_Data!G194</f>
        <v>9559</v>
      </c>
      <c r="E194" s="17" t="n">
        <f aca="false">Raw_Data!H194</f>
        <v>106.033</v>
      </c>
      <c r="F194" s="14" t="n">
        <f aca="false">IF(Raw_Data!I194="","",Raw_Data!I194)</f>
        <v>106.231</v>
      </c>
      <c r="G194" s="18" t="n">
        <f aca="false">IF(F194="","",(E194-F194)/F194)</f>
        <v>-0.00186386271427355</v>
      </c>
      <c r="H194" s="19" t="n">
        <f aca="false">IFERROR(INDEX(Thresholds!$B$2:$B$5,MATCH(C194,Thresholds!$A$2:$A$5,0)),"")</f>
        <v>0.005</v>
      </c>
      <c r="I194" s="20" t="n">
        <f aca="false">IF(F194="","",D194*(E194-F194))</f>
        <v>-1892.68199999994</v>
      </c>
      <c r="J194" s="11" t="str">
        <f aca="false">IF(C194="UNMAPPED","UNMAPPED ASSET CLASS",IF(F194="","NO INDEPENDENT PRICE",IF(ABS(G194)&gt;H194,"BREACH","OK")))</f>
        <v>OK</v>
      </c>
      <c r="K194" s="11" t="str">
        <f aca="false">IF(COUNTIF(Raw_Data!$A$2:A194,Raw_Data!A194)&gt;1,"DUP","UNIQUE")</f>
        <v>UNIQUE</v>
      </c>
      <c r="L194" s="11" t="str">
        <f aca="false">IF(Raw_Data!B194&lt;&gt;Thresholds!$E$1,"STALE","CURRENT")</f>
        <v>CURRENT</v>
      </c>
    </row>
    <row r="195" customFormat="false" ht="15" hidden="false" customHeight="false" outlineLevel="0" collapsed="false">
      <c r="A195" s="15" t="str">
        <f aca="false">Raw_Data!A195</f>
        <v>P0191</v>
      </c>
      <c r="B195" s="15" t="str">
        <f aca="false">Raw_Data!C195</f>
        <v>New York Credit</v>
      </c>
      <c r="C195" s="11" t="str">
        <f aca="false">IFERROR(INDEX(Thresholds!$A$2:$A$5,MATCH(TRIM(Raw_Data!D195),Thresholds!$A$2:$A$5,0)),"UNMAPPED")</f>
        <v>Corporate Bond</v>
      </c>
      <c r="D195" s="16" t="n">
        <f aca="false">Raw_Data!G195</f>
        <v>7498</v>
      </c>
      <c r="E195" s="17" t="n">
        <f aca="false">Raw_Data!H195</f>
        <v>107.064</v>
      </c>
      <c r="F195" s="14" t="n">
        <f aca="false">IF(Raw_Data!I195="","",Raw_Data!I195)</f>
        <v>107.333</v>
      </c>
      <c r="G195" s="18" t="n">
        <f aca="false">IF(F195="","",(E195-F195)/F195)</f>
        <v>-0.00250621896341298</v>
      </c>
      <c r="H195" s="19" t="n">
        <f aca="false">IFERROR(INDEX(Thresholds!$B$2:$B$5,MATCH(C195,Thresholds!$A$2:$A$5,0)),"")</f>
        <v>0.005</v>
      </c>
      <c r="I195" s="20" t="n">
        <f aca="false">IF(F195="","",D195*(E195-F195))</f>
        <v>-2016.96200000004</v>
      </c>
      <c r="J195" s="11" t="str">
        <f aca="false">IF(C195="UNMAPPED","UNMAPPED ASSET CLASS",IF(F195="","NO INDEPENDENT PRICE",IF(ABS(G195)&gt;H195,"BREACH","OK")))</f>
        <v>OK</v>
      </c>
      <c r="K195" s="11" t="str">
        <f aca="false">IF(COUNTIF(Raw_Data!$A$2:A195,Raw_Data!A195)&gt;1,"DUP","UNIQUE")</f>
        <v>UNIQUE</v>
      </c>
      <c r="L195" s="11" t="str">
        <f aca="false">IF(Raw_Data!B195&lt;&gt;Thresholds!$E$1,"STALE","CURRENT")</f>
        <v>CURRENT</v>
      </c>
    </row>
    <row r="196" customFormat="false" ht="15" hidden="false" customHeight="false" outlineLevel="0" collapsed="false">
      <c r="A196" s="15" t="str">
        <f aca="false">Raw_Data!A196</f>
        <v>P0192</v>
      </c>
      <c r="B196" s="15" t="str">
        <f aca="false">Raw_Data!C196</f>
        <v>London Rates</v>
      </c>
      <c r="C196" s="11" t="str">
        <f aca="false">IFERROR(INDEX(Thresholds!$A$2:$A$5,MATCH(TRIM(Raw_Data!D196),Thresholds!$A$2:$A$5,0)),"UNMAPPED")</f>
        <v>Government Bond</v>
      </c>
      <c r="D196" s="16" t="n">
        <f aca="false">Raw_Data!G196</f>
        <v>15490</v>
      </c>
      <c r="E196" s="17" t="n">
        <f aca="false">Raw_Data!H196</f>
        <v>99.764</v>
      </c>
      <c r="F196" s="14" t="n">
        <f aca="false">IF(Raw_Data!I196="","",Raw_Data!I196)</f>
        <v>99.834</v>
      </c>
      <c r="G196" s="18" t="n">
        <f aca="false">IF(F196="","",(E196-F196)/F196)</f>
        <v>-0.000701163932127405</v>
      </c>
      <c r="H196" s="19" t="n">
        <f aca="false">IFERROR(INDEX(Thresholds!$B$2:$B$5,MATCH(C196,Thresholds!$A$2:$A$5,0)),"")</f>
        <v>0.0025</v>
      </c>
      <c r="I196" s="20" t="n">
        <f aca="false">IF(F196="","",D196*(E196-F196))</f>
        <v>-1084.30000000011</v>
      </c>
      <c r="J196" s="11" t="str">
        <f aca="false">IF(C196="UNMAPPED","UNMAPPED ASSET CLASS",IF(F196="","NO INDEPENDENT PRICE",IF(ABS(G196)&gt;H196,"BREACH","OK")))</f>
        <v>OK</v>
      </c>
      <c r="K196" s="11" t="str">
        <f aca="false">IF(COUNTIF(Raw_Data!$A$2:A196,Raw_Data!A196)&gt;1,"DUP","UNIQUE")</f>
        <v>UNIQUE</v>
      </c>
      <c r="L196" s="11" t="str">
        <f aca="false">IF(Raw_Data!B196&lt;&gt;Thresholds!$E$1,"STALE","CURRENT")</f>
        <v>CURRENT</v>
      </c>
    </row>
    <row r="197" customFormat="false" ht="15" hidden="false" customHeight="false" outlineLevel="0" collapsed="false">
      <c r="A197" s="15" t="str">
        <f aca="false">Raw_Data!A197</f>
        <v>P0193</v>
      </c>
      <c r="B197" s="15" t="str">
        <f aca="false">Raw_Data!C197</f>
        <v>New York Rates</v>
      </c>
      <c r="C197" s="11" t="str">
        <f aca="false">IFERROR(INDEX(Thresholds!$A$2:$A$5,MATCH(TRIM(Raw_Data!D197),Thresholds!$A$2:$A$5,0)),"UNMAPPED")</f>
        <v>Government Bond</v>
      </c>
      <c r="D197" s="16" t="n">
        <f aca="false">Raw_Data!G197</f>
        <v>14189</v>
      </c>
      <c r="E197" s="17" t="n">
        <f aca="false">Raw_Data!H197</f>
        <v>99.513</v>
      </c>
      <c r="F197" s="14" t="n">
        <f aca="false">IF(Raw_Data!I197="","",Raw_Data!I197)</f>
        <v>99.993</v>
      </c>
      <c r="G197" s="18" t="n">
        <f aca="false">IF(F197="","",(E197-F197)/F197)</f>
        <v>-0.00480033602352155</v>
      </c>
      <c r="H197" s="19" t="n">
        <f aca="false">IFERROR(INDEX(Thresholds!$B$2:$B$5,MATCH(C197,Thresholds!$A$2:$A$5,0)),"")</f>
        <v>0.0025</v>
      </c>
      <c r="I197" s="20" t="n">
        <f aca="false">IF(F197="","",D197*(E197-F197))</f>
        <v>-6810.71999999986</v>
      </c>
      <c r="J197" s="11" t="str">
        <f aca="false">IF(C197="UNMAPPED","UNMAPPED ASSET CLASS",IF(F197="","NO INDEPENDENT PRICE",IF(ABS(G197)&gt;H197,"BREACH","OK")))</f>
        <v>BREACH</v>
      </c>
      <c r="K197" s="11" t="str">
        <f aca="false">IF(COUNTIF(Raw_Data!$A$2:A197,Raw_Data!A197)&gt;1,"DUP","UNIQUE")</f>
        <v>UNIQUE</v>
      </c>
      <c r="L197" s="11" t="str">
        <f aca="false">IF(Raw_Data!B197&lt;&gt;Thresholds!$E$1,"STALE","CURRENT")</f>
        <v>CURRENT</v>
      </c>
    </row>
    <row r="198" customFormat="false" ht="15" hidden="false" customHeight="false" outlineLevel="0" collapsed="false">
      <c r="A198" s="15" t="str">
        <f aca="false">Raw_Data!A198</f>
        <v>P0194</v>
      </c>
      <c r="B198" s="15" t="str">
        <f aca="false">Raw_Data!C198</f>
        <v>Singapore FX</v>
      </c>
      <c r="C198" s="11" t="str">
        <f aca="false">IFERROR(INDEX(Thresholds!$A$2:$A$5,MATCH(TRIM(Raw_Data!D198),Thresholds!$A$2:$A$5,0)),"UNMAPPED")</f>
        <v>FX Forward</v>
      </c>
      <c r="D198" s="16" t="n">
        <f aca="false">Raw_Data!G198</f>
        <v>2888708</v>
      </c>
      <c r="E198" s="17" t="n">
        <f aca="false">Raw_Data!H198</f>
        <v>1.46526</v>
      </c>
      <c r="F198" s="14" t="n">
        <f aca="false">IF(Raw_Data!I198="","",Raw_Data!I198)</f>
        <v>1.46765</v>
      </c>
      <c r="G198" s="18" t="n">
        <f aca="false">IF(F198="","",(E198-F198)/F198)</f>
        <v>-0.00162845365039341</v>
      </c>
      <c r="H198" s="19" t="n">
        <f aca="false">IFERROR(INDEX(Thresholds!$B$2:$B$5,MATCH(C198,Thresholds!$A$2:$A$5,0)),"")</f>
        <v>0.003</v>
      </c>
      <c r="I198" s="20" t="n">
        <f aca="false">IF(F198="","",D198*(E198-F198))</f>
        <v>-6904.01211999969</v>
      </c>
      <c r="J198" s="11" t="str">
        <f aca="false">IF(C198="UNMAPPED","UNMAPPED ASSET CLASS",IF(F198="","NO INDEPENDENT PRICE",IF(ABS(G198)&gt;H198,"BREACH","OK")))</f>
        <v>OK</v>
      </c>
      <c r="K198" s="11" t="str">
        <f aca="false">IF(COUNTIF(Raw_Data!$A$2:A198,Raw_Data!A198)&gt;1,"DUP","UNIQUE")</f>
        <v>UNIQUE</v>
      </c>
      <c r="L198" s="11" t="str">
        <f aca="false">IF(Raw_Data!B198&lt;&gt;Thresholds!$E$1,"STALE","CURRENT")</f>
        <v>CURRENT</v>
      </c>
    </row>
    <row r="199" customFormat="false" ht="15" hidden="false" customHeight="false" outlineLevel="0" collapsed="false">
      <c r="A199" s="15" t="str">
        <f aca="false">Raw_Data!A199</f>
        <v>P0195</v>
      </c>
      <c r="B199" s="15" t="str">
        <f aca="false">Raw_Data!C199</f>
        <v>New York Rates</v>
      </c>
      <c r="C199" s="11" t="str">
        <f aca="false">IFERROR(INDEX(Thresholds!$A$2:$A$5,MATCH(TRIM(Raw_Data!D199),Thresholds!$A$2:$A$5,0)),"UNMAPPED")</f>
        <v>Government Bond</v>
      </c>
      <c r="D199" s="16" t="n">
        <f aca="false">Raw_Data!G199</f>
        <v>7670</v>
      </c>
      <c r="E199" s="17" t="n">
        <f aca="false">Raw_Data!H199</f>
        <v>102.08</v>
      </c>
      <c r="F199" s="14" t="n">
        <f aca="false">IF(Raw_Data!I199="","",Raw_Data!I199)</f>
        <v>101.991</v>
      </c>
      <c r="G199" s="18" t="n">
        <f aca="false">IF(F199="","",(E199-F199)/F199)</f>
        <v>0.000872626016021008</v>
      </c>
      <c r="H199" s="19" t="n">
        <f aca="false">IFERROR(INDEX(Thresholds!$B$2:$B$5,MATCH(C199,Thresholds!$A$2:$A$5,0)),"")</f>
        <v>0.0025</v>
      </c>
      <c r="I199" s="20" t="n">
        <f aca="false">IF(F199="","",D199*(E199-F199))</f>
        <v>682.62999999999</v>
      </c>
      <c r="J199" s="11" t="str">
        <f aca="false">IF(C199="UNMAPPED","UNMAPPED ASSET CLASS",IF(F199="","NO INDEPENDENT PRICE",IF(ABS(G199)&gt;H199,"BREACH","OK")))</f>
        <v>OK</v>
      </c>
      <c r="K199" s="11" t="str">
        <f aca="false">IF(COUNTIF(Raw_Data!$A$2:A199,Raw_Data!A199)&gt;1,"DUP","UNIQUE")</f>
        <v>UNIQUE</v>
      </c>
      <c r="L199" s="11" t="str">
        <f aca="false">IF(Raw_Data!B199&lt;&gt;Thresholds!$E$1,"STALE","CURRENT")</f>
        <v>CURRENT</v>
      </c>
    </row>
    <row r="200" customFormat="false" ht="15" hidden="false" customHeight="false" outlineLevel="0" collapsed="false">
      <c r="A200" s="15" t="str">
        <f aca="false">Raw_Data!A200</f>
        <v>P0196</v>
      </c>
      <c r="B200" s="15" t="str">
        <f aca="false">Raw_Data!C200</f>
        <v>London Credit</v>
      </c>
      <c r="C200" s="11" t="str">
        <f aca="false">IFERROR(INDEX(Thresholds!$A$2:$A$5,MATCH(TRIM(Raw_Data!D200),Thresholds!$A$2:$A$5,0)),"UNMAPPED")</f>
        <v>Corporate Bond</v>
      </c>
      <c r="D200" s="16" t="n">
        <f aca="false">Raw_Data!G200</f>
        <v>3274</v>
      </c>
      <c r="E200" s="17" t="n">
        <f aca="false">Raw_Data!H200</f>
        <v>92.379</v>
      </c>
      <c r="F200" s="14" t="n">
        <f aca="false">IF(Raw_Data!I200="","",Raw_Data!I200)</f>
        <v>92.307</v>
      </c>
      <c r="G200" s="18" t="n">
        <f aca="false">IF(F200="","",(E200-F200)/F200)</f>
        <v>0.000780005850043905</v>
      </c>
      <c r="H200" s="19" t="n">
        <f aca="false">IFERROR(INDEX(Thresholds!$B$2:$B$5,MATCH(C200,Thresholds!$A$2:$A$5,0)),"")</f>
        <v>0.005</v>
      </c>
      <c r="I200" s="20" t="n">
        <f aca="false">IF(F200="","",D200*(E200-F200))</f>
        <v>235.728000000009</v>
      </c>
      <c r="J200" s="11" t="str">
        <f aca="false">IF(C200="UNMAPPED","UNMAPPED ASSET CLASS",IF(F200="","NO INDEPENDENT PRICE",IF(ABS(G200)&gt;H200,"BREACH","OK")))</f>
        <v>OK</v>
      </c>
      <c r="K200" s="11" t="str">
        <f aca="false">IF(COUNTIF(Raw_Data!$A$2:A200,Raw_Data!A200)&gt;1,"DUP","UNIQUE")</f>
        <v>UNIQUE</v>
      </c>
      <c r="L200" s="11" t="str">
        <f aca="false">IF(Raw_Data!B200&lt;&gt;Thresholds!$E$1,"STALE","CURRENT")</f>
        <v>CURRENT</v>
      </c>
    </row>
    <row r="201" customFormat="false" ht="15" hidden="false" customHeight="false" outlineLevel="0" collapsed="false">
      <c r="A201" s="15" t="str">
        <f aca="false">Raw_Data!A201</f>
        <v>P0197</v>
      </c>
      <c r="B201" s="15" t="str">
        <f aca="false">Raw_Data!C201</f>
        <v>London Credit</v>
      </c>
      <c r="C201" s="11" t="str">
        <f aca="false">IFERROR(INDEX(Thresholds!$A$2:$A$5,MATCH(TRIM(Raw_Data!D201),Thresholds!$A$2:$A$5,0)),"UNMAPPED")</f>
        <v>Corporate Bond</v>
      </c>
      <c r="D201" s="16" t="n">
        <f aca="false">Raw_Data!G201</f>
        <v>5835</v>
      </c>
      <c r="E201" s="17" t="n">
        <f aca="false">Raw_Data!H201</f>
        <v>103.494</v>
      </c>
      <c r="F201" s="14" t="n">
        <f aca="false">IF(Raw_Data!I201="","",Raw_Data!I201)</f>
        <v>103.689</v>
      </c>
      <c r="G201" s="18" t="n">
        <f aca="false">IF(F201="","",(E201-F201)/F201)</f>
        <v>-0.00188062378844422</v>
      </c>
      <c r="H201" s="19" t="n">
        <f aca="false">IFERROR(INDEX(Thresholds!$B$2:$B$5,MATCH(C201,Thresholds!$A$2:$A$5,0)),"")</f>
        <v>0.005</v>
      </c>
      <c r="I201" s="20" t="n">
        <f aca="false">IF(F201="","",D201*(E201-F201))</f>
        <v>-1137.82499999996</v>
      </c>
      <c r="J201" s="11" t="str">
        <f aca="false">IF(C201="UNMAPPED","UNMAPPED ASSET CLASS",IF(F201="","NO INDEPENDENT PRICE",IF(ABS(G201)&gt;H201,"BREACH","OK")))</f>
        <v>OK</v>
      </c>
      <c r="K201" s="11" t="str">
        <f aca="false">IF(COUNTIF(Raw_Data!$A$2:A201,Raw_Data!A201)&gt;1,"DUP","UNIQUE")</f>
        <v>UNIQUE</v>
      </c>
      <c r="L201" s="11" t="str">
        <f aca="false">IF(Raw_Data!B201&lt;&gt;Thresholds!$E$1,"STALE","CURRENT")</f>
        <v>CURRENT</v>
      </c>
    </row>
    <row r="202" customFormat="false" ht="15" hidden="false" customHeight="false" outlineLevel="0" collapsed="false">
      <c r="A202" s="15" t="str">
        <f aca="false">Raw_Data!A202</f>
        <v>P0198</v>
      </c>
      <c r="B202" s="15" t="str">
        <f aca="false">Raw_Data!C202</f>
        <v>Singapore Equities</v>
      </c>
      <c r="C202" s="11" t="str">
        <f aca="false">IFERROR(INDEX(Thresholds!$A$2:$A$5,MATCH(TRIM(Raw_Data!D202),Thresholds!$A$2:$A$5,0)),"UNMAPPED")</f>
        <v>Equity</v>
      </c>
      <c r="D202" s="16" t="n">
        <f aca="false">Raw_Data!G202</f>
        <v>33370</v>
      </c>
      <c r="E202" s="17" t="n">
        <f aca="false">Raw_Data!H202</f>
        <v>255.67</v>
      </c>
      <c r="F202" s="14" t="n">
        <f aca="false">IF(Raw_Data!I202="","",Raw_Data!I202)</f>
        <v>257.2</v>
      </c>
      <c r="G202" s="18" t="n">
        <f aca="false">IF(F202="","",(E202-F202)/F202)</f>
        <v>-0.00594867807153966</v>
      </c>
      <c r="H202" s="19" t="n">
        <f aca="false">IFERROR(INDEX(Thresholds!$B$2:$B$5,MATCH(C202,Thresholds!$A$2:$A$5,0)),"")</f>
        <v>0.01</v>
      </c>
      <c r="I202" s="20" t="n">
        <f aca="false">IF(F202="","",D202*(E202-F202))</f>
        <v>-51056.1</v>
      </c>
      <c r="J202" s="11" t="str">
        <f aca="false">IF(C202="UNMAPPED","UNMAPPED ASSET CLASS",IF(F202="","NO INDEPENDENT PRICE",IF(ABS(G202)&gt;H202,"BREACH","OK")))</f>
        <v>OK</v>
      </c>
      <c r="K202" s="11" t="str">
        <f aca="false">IF(COUNTIF(Raw_Data!$A$2:A202,Raw_Data!A202)&gt;1,"DUP","UNIQUE")</f>
        <v>UNIQUE</v>
      </c>
      <c r="L202" s="11" t="str">
        <f aca="false">IF(Raw_Data!B202&lt;&gt;Thresholds!$E$1,"STALE","CURRENT")</f>
        <v>CURRENT</v>
      </c>
    </row>
    <row r="203" customFormat="false" ht="15" hidden="false" customHeight="false" outlineLevel="0" collapsed="false">
      <c r="A203" s="15" t="str">
        <f aca="false">Raw_Data!A203</f>
        <v>P0199</v>
      </c>
      <c r="B203" s="15" t="str">
        <f aca="false">Raw_Data!C203</f>
        <v>New York Credit</v>
      </c>
      <c r="C203" s="11" t="str">
        <f aca="false">IFERROR(INDEX(Thresholds!$A$2:$A$5,MATCH(TRIM(Raw_Data!D203),Thresholds!$A$2:$A$5,0)),"UNMAPPED")</f>
        <v>Corporate Bond</v>
      </c>
      <c r="D203" s="16" t="n">
        <f aca="false">Raw_Data!G203</f>
        <v>16128</v>
      </c>
      <c r="E203" s="17" t="n">
        <f aca="false">Raw_Data!H203</f>
        <v>94.171</v>
      </c>
      <c r="F203" s="14" t="n">
        <f aca="false">IF(Raw_Data!I203="","",Raw_Data!I203)</f>
        <v>94.361</v>
      </c>
      <c r="G203" s="18" t="n">
        <f aca="false">IF(F203="","",(E203-F203)/F203)</f>
        <v>-0.00201354373099053</v>
      </c>
      <c r="H203" s="19" t="n">
        <f aca="false">IFERROR(INDEX(Thresholds!$B$2:$B$5,MATCH(C203,Thresholds!$A$2:$A$5,0)),"")</f>
        <v>0.005</v>
      </c>
      <c r="I203" s="20" t="n">
        <f aca="false">IF(F203="","",D203*(E203-F203))</f>
        <v>-3064.31999999996</v>
      </c>
      <c r="J203" s="11" t="str">
        <f aca="false">IF(C203="UNMAPPED","UNMAPPED ASSET CLASS",IF(F203="","NO INDEPENDENT PRICE",IF(ABS(G203)&gt;H203,"BREACH","OK")))</f>
        <v>OK</v>
      </c>
      <c r="K203" s="11" t="str">
        <f aca="false">IF(COUNTIF(Raw_Data!$A$2:A203,Raw_Data!A203)&gt;1,"DUP","UNIQUE")</f>
        <v>UNIQUE</v>
      </c>
      <c r="L203" s="11" t="str">
        <f aca="false">IF(Raw_Data!B203&lt;&gt;Thresholds!$E$1,"STALE","CURRENT")</f>
        <v>CURRENT</v>
      </c>
    </row>
    <row r="204" customFormat="false" ht="15" hidden="false" customHeight="false" outlineLevel="0" collapsed="false">
      <c r="A204" s="15" t="str">
        <f aca="false">Raw_Data!A204</f>
        <v>P0200</v>
      </c>
      <c r="B204" s="15" t="str">
        <f aca="false">Raw_Data!C204</f>
        <v>Zurich Equities</v>
      </c>
      <c r="C204" s="11" t="str">
        <f aca="false">IFERROR(INDEX(Thresholds!$A$2:$A$5,MATCH(TRIM(Raw_Data!D204),Thresholds!$A$2:$A$5,0)),"UNMAPPED")</f>
        <v>Equity</v>
      </c>
      <c r="D204" s="16" t="n">
        <f aca="false">Raw_Data!G204</f>
        <v>20690</v>
      </c>
      <c r="E204" s="17" t="n">
        <f aca="false">Raw_Data!H204</f>
        <v>207.52</v>
      </c>
      <c r="F204" s="14" t="n">
        <f aca="false">IF(Raw_Data!I204="","",Raw_Data!I204)</f>
        <v>208.16</v>
      </c>
      <c r="G204" s="18" t="n">
        <f aca="false">IF(F204="","",(E204-F204)/F204)</f>
        <v>-0.00307455803228279</v>
      </c>
      <c r="H204" s="19" t="n">
        <f aca="false">IFERROR(INDEX(Thresholds!$B$2:$B$5,MATCH(C204,Thresholds!$A$2:$A$5,0)),"")</f>
        <v>0.01</v>
      </c>
      <c r="I204" s="20" t="n">
        <f aca="false">IF(F204="","",D204*(E204-F204))</f>
        <v>-13241.5999999997</v>
      </c>
      <c r="J204" s="11" t="str">
        <f aca="false">IF(C204="UNMAPPED","UNMAPPED ASSET CLASS",IF(F204="","NO INDEPENDENT PRICE",IF(ABS(G204)&gt;H204,"BREACH","OK")))</f>
        <v>OK</v>
      </c>
      <c r="K204" s="11" t="str">
        <f aca="false">IF(COUNTIF(Raw_Data!$A$2:A204,Raw_Data!A204)&gt;1,"DUP","UNIQUE")</f>
        <v>UNIQUE</v>
      </c>
      <c r="L204" s="11" t="str">
        <f aca="false">IF(Raw_Data!B204&lt;&gt;Thresholds!$E$1,"STALE","CURRENT")</f>
        <v>CURRENT</v>
      </c>
    </row>
    <row r="205" customFormat="false" ht="15" hidden="false" customHeight="false" outlineLevel="0" collapsed="false">
      <c r="A205" s="15" t="str">
        <f aca="false">Raw_Data!A205</f>
        <v>P0201</v>
      </c>
      <c r="B205" s="15" t="str">
        <f aca="false">Raw_Data!C205</f>
        <v>Zurich Equities</v>
      </c>
      <c r="C205" s="11" t="str">
        <f aca="false">IFERROR(INDEX(Thresholds!$A$2:$A$5,MATCH(TRIM(Raw_Data!D205),Thresholds!$A$2:$A$5,0)),"UNMAPPED")</f>
        <v>Equity</v>
      </c>
      <c r="D205" s="16" t="n">
        <f aca="false">Raw_Data!G205</f>
        <v>47025</v>
      </c>
      <c r="E205" s="17" t="n">
        <f aca="false">Raw_Data!H205</f>
        <v>177.15</v>
      </c>
      <c r="F205" s="14" t="n">
        <f aca="false">IF(Raw_Data!I205="","",Raw_Data!I205)</f>
        <v>177.07</v>
      </c>
      <c r="G205" s="18" t="n">
        <f aca="false">IF(F205="","",(E205-F205)/F205)</f>
        <v>0.000451798723668676</v>
      </c>
      <c r="H205" s="19" t="n">
        <f aca="false">IFERROR(INDEX(Thresholds!$B$2:$B$5,MATCH(C205,Thresholds!$A$2:$A$5,0)),"")</f>
        <v>0.01</v>
      </c>
      <c r="I205" s="20" t="n">
        <f aca="false">IF(F205="","",D205*(E205-F205))</f>
        <v>3762.00000000059</v>
      </c>
      <c r="J205" s="11" t="str">
        <f aca="false">IF(C205="UNMAPPED","UNMAPPED ASSET CLASS",IF(F205="","NO INDEPENDENT PRICE",IF(ABS(G205)&gt;H205,"BREACH","OK")))</f>
        <v>OK</v>
      </c>
      <c r="K205" s="11" t="str">
        <f aca="false">IF(COUNTIF(Raw_Data!$A$2:A205,Raw_Data!A205)&gt;1,"DUP","UNIQUE")</f>
        <v>UNIQUE</v>
      </c>
      <c r="L205" s="11" t="str">
        <f aca="false">IF(Raw_Data!B205&lt;&gt;Thresholds!$E$1,"STALE","CURRENT")</f>
        <v>CURRENT</v>
      </c>
    </row>
    <row r="206" customFormat="false" ht="15" hidden="false" customHeight="false" outlineLevel="0" collapsed="false">
      <c r="A206" s="15" t="str">
        <f aca="false">Raw_Data!A206</f>
        <v>P0202</v>
      </c>
      <c r="B206" s="15" t="str">
        <f aca="false">Raw_Data!C206</f>
        <v>Zurich FX</v>
      </c>
      <c r="C206" s="11" t="str">
        <f aca="false">IFERROR(INDEX(Thresholds!$A$2:$A$5,MATCH(TRIM(Raw_Data!D206),Thresholds!$A$2:$A$5,0)),"UNMAPPED")</f>
        <v>FX Forward</v>
      </c>
      <c r="D206" s="16" t="n">
        <f aca="false">Raw_Data!G206</f>
        <v>3545831</v>
      </c>
      <c r="E206" s="17" t="n">
        <f aca="false">Raw_Data!H206</f>
        <v>1.58077</v>
      </c>
      <c r="F206" s="14" t="n">
        <f aca="false">IF(Raw_Data!I206="","",Raw_Data!I206)</f>
        <v>1.58061</v>
      </c>
      <c r="G206" s="18" t="n">
        <f aca="false">IF(F206="","",(E206-F206)/F206)</f>
        <v>0.000101226741574416</v>
      </c>
      <c r="H206" s="19" t="n">
        <f aca="false">IFERROR(INDEX(Thresholds!$B$2:$B$5,MATCH(C206,Thresholds!$A$2:$A$5,0)),"")</f>
        <v>0.003</v>
      </c>
      <c r="I206" s="20" t="n">
        <f aca="false">IF(F206="","",D206*(E206-F206))</f>
        <v>567.33295999978</v>
      </c>
      <c r="J206" s="11" t="str">
        <f aca="false">IF(C206="UNMAPPED","UNMAPPED ASSET CLASS",IF(F206="","NO INDEPENDENT PRICE",IF(ABS(G206)&gt;H206,"BREACH","OK")))</f>
        <v>OK</v>
      </c>
      <c r="K206" s="11" t="str">
        <f aca="false">IF(COUNTIF(Raw_Data!$A$2:A206,Raw_Data!A206)&gt;1,"DUP","UNIQUE")</f>
        <v>UNIQUE</v>
      </c>
      <c r="L206" s="11" t="str">
        <f aca="false">IF(Raw_Data!B206&lt;&gt;Thresholds!$E$1,"STALE","CURRENT")</f>
        <v>CURRENT</v>
      </c>
    </row>
    <row r="207" customFormat="false" ht="15" hidden="false" customHeight="false" outlineLevel="0" collapsed="false">
      <c r="A207" s="15" t="str">
        <f aca="false">Raw_Data!A207</f>
        <v>P0203</v>
      </c>
      <c r="B207" s="15" t="str">
        <f aca="false">Raw_Data!C207</f>
        <v>Singapore FX</v>
      </c>
      <c r="C207" s="11" t="str">
        <f aca="false">IFERROR(INDEX(Thresholds!$A$2:$A$5,MATCH(TRIM(Raw_Data!D207),Thresholds!$A$2:$A$5,0)),"UNMAPPED")</f>
        <v>FX Forward</v>
      </c>
      <c r="D207" s="16" t="n">
        <f aca="false">Raw_Data!G207</f>
        <v>3932216</v>
      </c>
      <c r="E207" s="17" t="n">
        <f aca="false">Raw_Data!H207</f>
        <v>1.29031</v>
      </c>
      <c r="F207" s="14" t="n">
        <f aca="false">IF(Raw_Data!I207="","",Raw_Data!I207)</f>
        <v>1.29225</v>
      </c>
      <c r="G207" s="18" t="n">
        <f aca="false">IF(F207="","",(E207-F207)/F207)</f>
        <v>-0.0015012574966143</v>
      </c>
      <c r="H207" s="19" t="n">
        <f aca="false">IFERROR(INDEX(Thresholds!$B$2:$B$5,MATCH(C207,Thresholds!$A$2:$A$5,0)),"")</f>
        <v>0.003</v>
      </c>
      <c r="I207" s="20" t="n">
        <f aca="false">IF(F207="","",D207*(E207-F207))</f>
        <v>-7628.49903999934</v>
      </c>
      <c r="J207" s="11" t="str">
        <f aca="false">IF(C207="UNMAPPED","UNMAPPED ASSET CLASS",IF(F207="","NO INDEPENDENT PRICE",IF(ABS(G207)&gt;H207,"BREACH","OK")))</f>
        <v>OK</v>
      </c>
      <c r="K207" s="11" t="str">
        <f aca="false">IF(COUNTIF(Raw_Data!$A$2:A207,Raw_Data!A207)&gt;1,"DUP","UNIQUE")</f>
        <v>UNIQUE</v>
      </c>
      <c r="L207" s="11" t="str">
        <f aca="false">IF(Raw_Data!B207&lt;&gt;Thresholds!$E$1,"STALE","CURRENT")</f>
        <v>CURRENT</v>
      </c>
    </row>
    <row r="208" customFormat="false" ht="15" hidden="false" customHeight="false" outlineLevel="0" collapsed="false">
      <c r="A208" s="15" t="str">
        <f aca="false">Raw_Data!A208</f>
        <v>P0204</v>
      </c>
      <c r="B208" s="15" t="str">
        <f aca="false">Raw_Data!C208</f>
        <v>Singapore FX</v>
      </c>
      <c r="C208" s="11" t="str">
        <f aca="false">IFERROR(INDEX(Thresholds!$A$2:$A$5,MATCH(TRIM(Raw_Data!D208),Thresholds!$A$2:$A$5,0)),"UNMAPPED")</f>
        <v>FX Forward</v>
      </c>
      <c r="D208" s="16" t="n">
        <f aca="false">Raw_Data!G208</f>
        <v>4193200</v>
      </c>
      <c r="E208" s="17" t="n">
        <f aca="false">Raw_Data!H208</f>
        <v>1.2268</v>
      </c>
      <c r="F208" s="14" t="n">
        <f aca="false">IF(Raw_Data!I208="","",Raw_Data!I208)</f>
        <v>1.22972</v>
      </c>
      <c r="G208" s="18" t="n">
        <f aca="false">IF(F208="","",(E208-F208)/F208)</f>
        <v>-0.00237452428195039</v>
      </c>
      <c r="H208" s="19" t="n">
        <f aca="false">IFERROR(INDEX(Thresholds!$B$2:$B$5,MATCH(C208,Thresholds!$A$2:$A$5,0)),"")</f>
        <v>0.003</v>
      </c>
      <c r="I208" s="20" t="n">
        <f aca="false">IF(F208="","",D208*(E208-F208))</f>
        <v>-12244.1440000001</v>
      </c>
      <c r="J208" s="11" t="str">
        <f aca="false">IF(C208="UNMAPPED","UNMAPPED ASSET CLASS",IF(F208="","NO INDEPENDENT PRICE",IF(ABS(G208)&gt;H208,"BREACH","OK")))</f>
        <v>OK</v>
      </c>
      <c r="K208" s="11" t="str">
        <f aca="false">IF(COUNTIF(Raw_Data!$A$2:A208,Raw_Data!A208)&gt;1,"DUP","UNIQUE")</f>
        <v>UNIQUE</v>
      </c>
      <c r="L208" s="11" t="str">
        <f aca="false">IF(Raw_Data!B208&lt;&gt;Thresholds!$E$1,"STALE","CURRENT")</f>
        <v>CURRENT</v>
      </c>
    </row>
    <row r="209" customFormat="false" ht="15" hidden="false" customHeight="false" outlineLevel="0" collapsed="false">
      <c r="A209" s="15" t="str">
        <f aca="false">Raw_Data!A209</f>
        <v>P0205</v>
      </c>
      <c r="B209" s="15" t="str">
        <f aca="false">Raw_Data!C209</f>
        <v>London Credit</v>
      </c>
      <c r="C209" s="11" t="str">
        <f aca="false">IFERROR(INDEX(Thresholds!$A$2:$A$5,MATCH(TRIM(Raw_Data!D209),Thresholds!$A$2:$A$5,0)),"UNMAPPED")</f>
        <v>Corporate Bond</v>
      </c>
      <c r="D209" s="16" t="n">
        <f aca="false">Raw_Data!G209</f>
        <v>2319</v>
      </c>
      <c r="E209" s="17" t="n">
        <f aca="false">Raw_Data!H209</f>
        <v>107.999</v>
      </c>
      <c r="F209" s="14" t="n">
        <f aca="false">IF(Raw_Data!I209="","",Raw_Data!I209)</f>
        <v>108.229</v>
      </c>
      <c r="G209" s="18" t="n">
        <f aca="false">IF(F209="","",(E209-F209)/F209)</f>
        <v>-0.00212512358055608</v>
      </c>
      <c r="H209" s="19" t="n">
        <f aca="false">IFERROR(INDEX(Thresholds!$B$2:$B$5,MATCH(C209,Thresholds!$A$2:$A$5,0)),"")</f>
        <v>0.005</v>
      </c>
      <c r="I209" s="20" t="n">
        <f aca="false">IF(F209="","",D209*(E209-F209))</f>
        <v>-533.370000000009</v>
      </c>
      <c r="J209" s="11" t="str">
        <f aca="false">IF(C209="UNMAPPED","UNMAPPED ASSET CLASS",IF(F209="","NO INDEPENDENT PRICE",IF(ABS(G209)&gt;H209,"BREACH","OK")))</f>
        <v>OK</v>
      </c>
      <c r="K209" s="11" t="str">
        <f aca="false">IF(COUNTIF(Raw_Data!$A$2:A209,Raw_Data!A209)&gt;1,"DUP","UNIQUE")</f>
        <v>UNIQUE</v>
      </c>
      <c r="L209" s="11" t="str">
        <f aca="false">IF(Raw_Data!B209&lt;&gt;Thresholds!$E$1,"STALE","CURRENT")</f>
        <v>CURRENT</v>
      </c>
    </row>
    <row r="210" customFormat="false" ht="15" hidden="false" customHeight="false" outlineLevel="0" collapsed="false">
      <c r="A210" s="15" t="str">
        <f aca="false">Raw_Data!A210</f>
        <v>P0206</v>
      </c>
      <c r="B210" s="15" t="str">
        <f aca="false">Raw_Data!C210</f>
        <v>Singapore FX</v>
      </c>
      <c r="C210" s="11" t="str">
        <f aca="false">IFERROR(INDEX(Thresholds!$A$2:$A$5,MATCH(TRIM(Raw_Data!D210),Thresholds!$A$2:$A$5,0)),"UNMAPPED")</f>
        <v>FX Forward</v>
      </c>
      <c r="D210" s="16" t="n">
        <f aca="false">Raw_Data!G210</f>
        <v>121518</v>
      </c>
      <c r="E210" s="17" t="n">
        <f aca="false">Raw_Data!H210</f>
        <v>0.93988</v>
      </c>
      <c r="F210" s="14" t="n">
        <f aca="false">IF(Raw_Data!I210="","",Raw_Data!I210)</f>
        <v>0.93962</v>
      </c>
      <c r="G210" s="18" t="n">
        <f aca="false">IF(F210="","",(E210-F210)/F210)</f>
        <v>0.000276707605202143</v>
      </c>
      <c r="H210" s="19" t="n">
        <f aca="false">IFERROR(INDEX(Thresholds!$B$2:$B$5,MATCH(C210,Thresholds!$A$2:$A$5,0)),"")</f>
        <v>0.003</v>
      </c>
      <c r="I210" s="20" t="n">
        <f aca="false">IF(F210="","",D210*(E210-F210))</f>
        <v>31.5946800000046</v>
      </c>
      <c r="J210" s="11" t="str">
        <f aca="false">IF(C210="UNMAPPED","UNMAPPED ASSET CLASS",IF(F210="","NO INDEPENDENT PRICE",IF(ABS(G210)&gt;H210,"BREACH","OK")))</f>
        <v>OK</v>
      </c>
      <c r="K210" s="11" t="str">
        <f aca="false">IF(COUNTIF(Raw_Data!$A$2:A210,Raw_Data!A210)&gt;1,"DUP","UNIQUE")</f>
        <v>UNIQUE</v>
      </c>
      <c r="L210" s="11" t="str">
        <f aca="false">IF(Raw_Data!B210&lt;&gt;Thresholds!$E$1,"STALE","CURRENT")</f>
        <v>CURRENT</v>
      </c>
    </row>
    <row r="211" customFormat="false" ht="15" hidden="false" customHeight="false" outlineLevel="0" collapsed="false">
      <c r="A211" s="15" t="str">
        <f aca="false">Raw_Data!A211</f>
        <v>P0207</v>
      </c>
      <c r="B211" s="15" t="str">
        <f aca="false">Raw_Data!C211</f>
        <v>London Credit</v>
      </c>
      <c r="C211" s="11" t="str">
        <f aca="false">IFERROR(INDEX(Thresholds!$A$2:$A$5,MATCH(TRIM(Raw_Data!D211),Thresholds!$A$2:$A$5,0)),"UNMAPPED")</f>
        <v>Corporate Bond</v>
      </c>
      <c r="D211" s="16" t="n">
        <f aca="false">Raw_Data!G211</f>
        <v>15288</v>
      </c>
      <c r="E211" s="17" t="n">
        <f aca="false">Raw_Data!H211</f>
        <v>96.076</v>
      </c>
      <c r="F211" s="14" t="n">
        <f aca="false">IF(Raw_Data!I211="","",Raw_Data!I211)</f>
        <v>96.093</v>
      </c>
      <c r="G211" s="18" t="n">
        <f aca="false">IF(F211="","",(E211-F211)/F211)</f>
        <v>-0.000176911949881991</v>
      </c>
      <c r="H211" s="19" t="n">
        <f aca="false">IFERROR(INDEX(Thresholds!$B$2:$B$5,MATCH(C211,Thresholds!$A$2:$A$5,0)),"")</f>
        <v>0.005</v>
      </c>
      <c r="I211" s="20" t="n">
        <f aca="false">IF(F211="","",D211*(E211-F211))</f>
        <v>-259.896000000155</v>
      </c>
      <c r="J211" s="11" t="str">
        <f aca="false">IF(C211="UNMAPPED","UNMAPPED ASSET CLASS",IF(F211="","NO INDEPENDENT PRICE",IF(ABS(G211)&gt;H211,"BREACH","OK")))</f>
        <v>OK</v>
      </c>
      <c r="K211" s="11" t="str">
        <f aca="false">IF(COUNTIF(Raw_Data!$A$2:A211,Raw_Data!A211)&gt;1,"DUP","UNIQUE")</f>
        <v>UNIQUE</v>
      </c>
      <c r="L211" s="11" t="str">
        <f aca="false">IF(Raw_Data!B211&lt;&gt;Thresholds!$E$1,"STALE","CURRENT")</f>
        <v>CURRENT</v>
      </c>
    </row>
    <row r="212" customFormat="false" ht="15" hidden="false" customHeight="false" outlineLevel="0" collapsed="false">
      <c r="A212" s="15" t="str">
        <f aca="false">Raw_Data!A212</f>
        <v>P0208</v>
      </c>
      <c r="B212" s="15" t="str">
        <f aca="false">Raw_Data!C212</f>
        <v>London Rates</v>
      </c>
      <c r="C212" s="11" t="str">
        <f aca="false">IFERROR(INDEX(Thresholds!$A$2:$A$5,MATCH(TRIM(Raw_Data!D212),Thresholds!$A$2:$A$5,0)),"UNMAPPED")</f>
        <v>Government Bond</v>
      </c>
      <c r="D212" s="16" t="n">
        <f aca="false">Raw_Data!G212</f>
        <v>18191</v>
      </c>
      <c r="E212" s="17" t="n">
        <f aca="false">Raw_Data!H212</f>
        <v>97.731</v>
      </c>
      <c r="F212" s="14" t="n">
        <f aca="false">IF(Raw_Data!I212="","",Raw_Data!I212)</f>
        <v>97.887</v>
      </c>
      <c r="G212" s="18" t="n">
        <f aca="false">IF(F212="","",(E212-F212)/F212)</f>
        <v>-0.00159367433877845</v>
      </c>
      <c r="H212" s="19" t="n">
        <f aca="false">IFERROR(INDEX(Thresholds!$B$2:$B$5,MATCH(C212,Thresholds!$A$2:$A$5,0)),"")</f>
        <v>0.0025</v>
      </c>
      <c r="I212" s="20" t="n">
        <f aca="false">IF(F212="","",D212*(E212-F212))</f>
        <v>-2837.79600000011</v>
      </c>
      <c r="J212" s="11" t="str">
        <f aca="false">IF(C212="UNMAPPED","UNMAPPED ASSET CLASS",IF(F212="","NO INDEPENDENT PRICE",IF(ABS(G212)&gt;H212,"BREACH","OK")))</f>
        <v>OK</v>
      </c>
      <c r="K212" s="11" t="str">
        <f aca="false">IF(COUNTIF(Raw_Data!$A$2:A212,Raw_Data!A212)&gt;1,"DUP","UNIQUE")</f>
        <v>UNIQUE</v>
      </c>
      <c r="L212" s="11" t="str">
        <f aca="false">IF(Raw_Data!B212&lt;&gt;Thresholds!$E$1,"STALE","CURRENT")</f>
        <v>CURRENT</v>
      </c>
    </row>
    <row r="213" customFormat="false" ht="15" hidden="false" customHeight="false" outlineLevel="0" collapsed="false">
      <c r="A213" s="15" t="str">
        <f aca="false">Raw_Data!A213</f>
        <v>P0209</v>
      </c>
      <c r="B213" s="15" t="str">
        <f aca="false">Raw_Data!C213</f>
        <v>New York Rates</v>
      </c>
      <c r="C213" s="11" t="str">
        <f aca="false">IFERROR(INDEX(Thresholds!$A$2:$A$5,MATCH(TRIM(Raw_Data!D213),Thresholds!$A$2:$A$5,0)),"UNMAPPED")</f>
        <v>Government Bond</v>
      </c>
      <c r="D213" s="16" t="n">
        <f aca="false">Raw_Data!G213</f>
        <v>2973</v>
      </c>
      <c r="E213" s="17" t="n">
        <f aca="false">Raw_Data!H213</f>
        <v>100.549</v>
      </c>
      <c r="F213" s="14" t="n">
        <f aca="false">IF(Raw_Data!I213="","",Raw_Data!I213)</f>
        <v>100.421</v>
      </c>
      <c r="G213" s="18" t="n">
        <f aca="false">IF(F213="","",(E213-F213)/F213)</f>
        <v>0.00127463379173679</v>
      </c>
      <c r="H213" s="19" t="n">
        <f aca="false">IFERROR(INDEX(Thresholds!$B$2:$B$5,MATCH(C213,Thresholds!$A$2:$A$5,0)),"")</f>
        <v>0.0025</v>
      </c>
      <c r="I213" s="20" t="n">
        <f aca="false">IF(F213="","",D213*(E213-F213))</f>
        <v>380.544</v>
      </c>
      <c r="J213" s="11" t="str">
        <f aca="false">IF(C213="UNMAPPED","UNMAPPED ASSET CLASS",IF(F213="","NO INDEPENDENT PRICE",IF(ABS(G213)&gt;H213,"BREACH","OK")))</f>
        <v>OK</v>
      </c>
      <c r="K213" s="11" t="str">
        <f aca="false">IF(COUNTIF(Raw_Data!$A$2:A213,Raw_Data!A213)&gt;1,"DUP","UNIQUE")</f>
        <v>UNIQUE</v>
      </c>
      <c r="L213" s="11" t="str">
        <f aca="false">IF(Raw_Data!B213&lt;&gt;Thresholds!$E$1,"STALE","CURRENT")</f>
        <v>CURRENT</v>
      </c>
    </row>
    <row r="214" customFormat="false" ht="15" hidden="false" customHeight="false" outlineLevel="0" collapsed="false">
      <c r="A214" s="15" t="str">
        <f aca="false">Raw_Data!A214</f>
        <v>P0210</v>
      </c>
      <c r="B214" s="15" t="str">
        <f aca="false">Raw_Data!C214</f>
        <v>New York Rates</v>
      </c>
      <c r="C214" s="11" t="str">
        <f aca="false">IFERROR(INDEX(Thresholds!$A$2:$A$5,MATCH(TRIM(Raw_Data!D214),Thresholds!$A$2:$A$5,0)),"UNMAPPED")</f>
        <v>Government Bond</v>
      </c>
      <c r="D214" s="16" t="n">
        <f aca="false">Raw_Data!G214</f>
        <v>7360</v>
      </c>
      <c r="E214" s="17" t="n">
        <f aca="false">Raw_Data!H214</f>
        <v>103.844</v>
      </c>
      <c r="F214" s="14" t="n">
        <f aca="false">IF(Raw_Data!I214="","",Raw_Data!I214)</f>
        <v>103.827</v>
      </c>
      <c r="G214" s="18" t="n">
        <f aca="false">IF(F214="","",(E214-F214)/F214)</f>
        <v>0.000163733903512534</v>
      </c>
      <c r="H214" s="19" t="n">
        <f aca="false">IFERROR(INDEX(Thresholds!$B$2:$B$5,MATCH(C214,Thresholds!$A$2:$A$5,0)),"")</f>
        <v>0.0025</v>
      </c>
      <c r="I214" s="20" t="n">
        <f aca="false">IF(F214="","",D214*(E214-F214))</f>
        <v>125.11999999997</v>
      </c>
      <c r="J214" s="11" t="str">
        <f aca="false">IF(C214="UNMAPPED","UNMAPPED ASSET CLASS",IF(F214="","NO INDEPENDENT PRICE",IF(ABS(G214)&gt;H214,"BREACH","OK")))</f>
        <v>OK</v>
      </c>
      <c r="K214" s="11" t="str">
        <f aca="false">IF(COUNTIF(Raw_Data!$A$2:A214,Raw_Data!A214)&gt;1,"DUP","UNIQUE")</f>
        <v>UNIQUE</v>
      </c>
      <c r="L214" s="11" t="str">
        <f aca="false">IF(Raw_Data!B214&lt;&gt;Thresholds!$E$1,"STALE","CURRENT")</f>
        <v>CURRENT</v>
      </c>
    </row>
    <row r="215" customFormat="false" ht="15" hidden="false" customHeight="false" outlineLevel="0" collapsed="false">
      <c r="A215" s="15" t="str">
        <f aca="false">Raw_Data!A215</f>
        <v>P0211</v>
      </c>
      <c r="B215" s="15" t="str">
        <f aca="false">Raw_Data!C215</f>
        <v>Singapore Equities</v>
      </c>
      <c r="C215" s="11" t="str">
        <f aca="false">IFERROR(INDEX(Thresholds!$A$2:$A$5,MATCH(TRIM(Raw_Data!D215),Thresholds!$A$2:$A$5,0)),"UNMAPPED")</f>
        <v>Equity</v>
      </c>
      <c r="D215" s="16" t="n">
        <f aca="false">Raw_Data!G215</f>
        <v>29919</v>
      </c>
      <c r="E215" s="17" t="n">
        <f aca="false">Raw_Data!H215</f>
        <v>279.43</v>
      </c>
      <c r="F215" s="14" t="n">
        <f aca="false">IF(Raw_Data!I215="","",Raw_Data!I215)</f>
        <v>279.35</v>
      </c>
      <c r="G215" s="18" t="n">
        <f aca="false">IF(F215="","",(E215-F215)/F215)</f>
        <v>0.000286379094326057</v>
      </c>
      <c r="H215" s="19" t="n">
        <f aca="false">IFERROR(INDEX(Thresholds!$B$2:$B$5,MATCH(C215,Thresholds!$A$2:$A$5,0)),"")</f>
        <v>0.01</v>
      </c>
      <c r="I215" s="20" t="n">
        <f aca="false">IF(F215="","",D215*(E215-F215))</f>
        <v>2393.51999999952</v>
      </c>
      <c r="J215" s="11" t="str">
        <f aca="false">IF(C215="UNMAPPED","UNMAPPED ASSET CLASS",IF(F215="","NO INDEPENDENT PRICE",IF(ABS(G215)&gt;H215,"BREACH","OK")))</f>
        <v>OK</v>
      </c>
      <c r="K215" s="11" t="str">
        <f aca="false">IF(COUNTIF(Raw_Data!$A$2:A215,Raw_Data!A215)&gt;1,"DUP","UNIQUE")</f>
        <v>UNIQUE</v>
      </c>
      <c r="L215" s="11" t="str">
        <f aca="false">IF(Raw_Data!B215&lt;&gt;Thresholds!$E$1,"STALE","CURRENT")</f>
        <v>CURRENT</v>
      </c>
    </row>
    <row r="216" customFormat="false" ht="15" hidden="false" customHeight="false" outlineLevel="0" collapsed="false">
      <c r="A216" s="15" t="str">
        <f aca="false">Raw_Data!A216</f>
        <v>P0212</v>
      </c>
      <c r="B216" s="15" t="str">
        <f aca="false">Raw_Data!C216</f>
        <v>London Rates</v>
      </c>
      <c r="C216" s="11" t="str">
        <f aca="false">IFERROR(INDEX(Thresholds!$A$2:$A$5,MATCH(TRIM(Raw_Data!D216),Thresholds!$A$2:$A$5,0)),"UNMAPPED")</f>
        <v>Government Bond</v>
      </c>
      <c r="D216" s="16" t="n">
        <f aca="false">Raw_Data!G216</f>
        <v>11079</v>
      </c>
      <c r="E216" s="17" t="n">
        <f aca="false">Raw_Data!H216</f>
        <v>97.327</v>
      </c>
      <c r="F216" s="14" t="n">
        <f aca="false">IF(Raw_Data!I216="","",Raw_Data!I216)</f>
        <v>97.426</v>
      </c>
      <c r="G216" s="18" t="n">
        <f aca="false">IF(F216="","",(E216-F216)/F216)</f>
        <v>-0.00101615585162076</v>
      </c>
      <c r="H216" s="19" t="n">
        <f aca="false">IFERROR(INDEX(Thresholds!$B$2:$B$5,MATCH(C216,Thresholds!$A$2:$A$5,0)),"")</f>
        <v>0.0025</v>
      </c>
      <c r="I216" s="20" t="n">
        <f aca="false">IF(F216="","",D216*(E216-F216))</f>
        <v>-1096.82100000004</v>
      </c>
      <c r="J216" s="11" t="str">
        <f aca="false">IF(C216="UNMAPPED","UNMAPPED ASSET CLASS",IF(F216="","NO INDEPENDENT PRICE",IF(ABS(G216)&gt;H216,"BREACH","OK")))</f>
        <v>OK</v>
      </c>
      <c r="K216" s="11" t="str">
        <f aca="false">IF(COUNTIF(Raw_Data!$A$2:A216,Raw_Data!A216)&gt;1,"DUP","UNIQUE")</f>
        <v>UNIQUE</v>
      </c>
      <c r="L216" s="11" t="str">
        <f aca="false">IF(Raw_Data!B216&lt;&gt;Thresholds!$E$1,"STALE","CURRENT")</f>
        <v>CURRENT</v>
      </c>
    </row>
    <row r="217" customFormat="false" ht="15" hidden="false" customHeight="false" outlineLevel="0" collapsed="false">
      <c r="A217" s="15" t="str">
        <f aca="false">Raw_Data!A217</f>
        <v>P0213</v>
      </c>
      <c r="B217" s="15" t="str">
        <f aca="false">Raw_Data!C217</f>
        <v>Zurich Equities</v>
      </c>
      <c r="C217" s="11" t="str">
        <f aca="false">IFERROR(INDEX(Thresholds!$A$2:$A$5,MATCH(TRIM(Raw_Data!D217),Thresholds!$A$2:$A$5,0)),"UNMAPPED")</f>
        <v>Equity</v>
      </c>
      <c r="D217" s="16" t="n">
        <f aca="false">Raw_Data!G217</f>
        <v>49946</v>
      </c>
      <c r="E217" s="17" t="n">
        <f aca="false">Raw_Data!H217</f>
        <v>43.98</v>
      </c>
      <c r="F217" s="14" t="n">
        <f aca="false">IF(Raw_Data!I217="","",Raw_Data!I217)</f>
        <v>44.06</v>
      </c>
      <c r="G217" s="18" t="n">
        <f aca="false">IF(F217="","",(E217-F217)/F217)</f>
        <v>-0.00181570585565151</v>
      </c>
      <c r="H217" s="19" t="n">
        <f aca="false">IFERROR(INDEX(Thresholds!$B$2:$B$5,MATCH(C217,Thresholds!$A$2:$A$5,0)),"")</f>
        <v>0.01</v>
      </c>
      <c r="I217" s="20" t="n">
        <f aca="false">IF(F217="","",D217*(E217-F217))</f>
        <v>-3995.68000000027</v>
      </c>
      <c r="J217" s="11" t="str">
        <f aca="false">IF(C217="UNMAPPED","UNMAPPED ASSET CLASS",IF(F217="","NO INDEPENDENT PRICE",IF(ABS(G217)&gt;H217,"BREACH","OK")))</f>
        <v>OK</v>
      </c>
      <c r="K217" s="11" t="str">
        <f aca="false">IF(COUNTIF(Raw_Data!$A$2:A217,Raw_Data!A217)&gt;1,"DUP","UNIQUE")</f>
        <v>UNIQUE</v>
      </c>
      <c r="L217" s="11" t="str">
        <f aca="false">IF(Raw_Data!B217&lt;&gt;Thresholds!$E$1,"STALE","CURRENT")</f>
        <v>CURRENT</v>
      </c>
    </row>
    <row r="218" customFormat="false" ht="15" hidden="false" customHeight="false" outlineLevel="0" collapsed="false">
      <c r="A218" s="15" t="str">
        <f aca="false">Raw_Data!A218</f>
        <v>P0214</v>
      </c>
      <c r="B218" s="15" t="str">
        <f aca="false">Raw_Data!C218</f>
        <v>Zurich Equities</v>
      </c>
      <c r="C218" s="11" t="str">
        <f aca="false">IFERROR(INDEX(Thresholds!$A$2:$A$5,MATCH(TRIM(Raw_Data!D218),Thresholds!$A$2:$A$5,0)),"UNMAPPED")</f>
        <v>Equity</v>
      </c>
      <c r="D218" s="16" t="n">
        <f aca="false">Raw_Data!G218</f>
        <v>37270</v>
      </c>
      <c r="E218" s="17" t="n">
        <f aca="false">Raw_Data!H218</f>
        <v>275.68</v>
      </c>
      <c r="F218" s="14" t="n">
        <f aca="false">IF(Raw_Data!I218="","",Raw_Data!I218)</f>
        <v>277</v>
      </c>
      <c r="G218" s="18" t="n">
        <f aca="false">IF(F218="","",(E218-F218)/F218)</f>
        <v>-0.00476534296028878</v>
      </c>
      <c r="H218" s="19" t="n">
        <f aca="false">IFERROR(INDEX(Thresholds!$B$2:$B$5,MATCH(C218,Thresholds!$A$2:$A$5,0)),"")</f>
        <v>0.01</v>
      </c>
      <c r="I218" s="20" t="n">
        <f aca="false">IF(F218="","",D218*(E218-F218))</f>
        <v>-49196.3999999998</v>
      </c>
      <c r="J218" s="11" t="str">
        <f aca="false">IF(C218="UNMAPPED","UNMAPPED ASSET CLASS",IF(F218="","NO INDEPENDENT PRICE",IF(ABS(G218)&gt;H218,"BREACH","OK")))</f>
        <v>OK</v>
      </c>
      <c r="K218" s="11" t="str">
        <f aca="false">IF(COUNTIF(Raw_Data!$A$2:A218,Raw_Data!A218)&gt;1,"DUP","UNIQUE")</f>
        <v>UNIQUE</v>
      </c>
      <c r="L218" s="11" t="str">
        <f aca="false">IF(Raw_Data!B218&lt;&gt;Thresholds!$E$1,"STALE","CURRENT")</f>
        <v>CURRENT</v>
      </c>
    </row>
    <row r="219" customFormat="false" ht="15" hidden="false" customHeight="false" outlineLevel="0" collapsed="false">
      <c r="A219" s="15" t="str">
        <f aca="false">Raw_Data!A219</f>
        <v>P0215</v>
      </c>
      <c r="B219" s="15" t="str">
        <f aca="false">Raw_Data!C219</f>
        <v>London Credit</v>
      </c>
      <c r="C219" s="11" t="str">
        <f aca="false">IFERROR(INDEX(Thresholds!$A$2:$A$5,MATCH(TRIM(Raw_Data!D219),Thresholds!$A$2:$A$5,0)),"UNMAPPED")</f>
        <v>Corporate Bond</v>
      </c>
      <c r="D219" s="16" t="n">
        <f aca="false">Raw_Data!G219</f>
        <v>4976</v>
      </c>
      <c r="E219" s="17" t="n">
        <f aca="false">Raw_Data!H219</f>
        <v>100.918</v>
      </c>
      <c r="F219" s="14" t="n">
        <f aca="false">IF(Raw_Data!I219="","",Raw_Data!I219)</f>
        <v>101.286</v>
      </c>
      <c r="G219" s="18" t="n">
        <f aca="false">IF(F219="","",(E219-F219)/F219)</f>
        <v>-0.00363327606974305</v>
      </c>
      <c r="H219" s="19" t="n">
        <f aca="false">IFERROR(INDEX(Thresholds!$B$2:$B$5,MATCH(C219,Thresholds!$A$2:$A$5,0)),"")</f>
        <v>0.005</v>
      </c>
      <c r="I219" s="20" t="n">
        <f aca="false">IF(F219="","",D219*(E219-F219))</f>
        <v>-1831.16799999998</v>
      </c>
      <c r="J219" s="11" t="str">
        <f aca="false">IF(C219="UNMAPPED","UNMAPPED ASSET CLASS",IF(F219="","NO INDEPENDENT PRICE",IF(ABS(G219)&gt;H219,"BREACH","OK")))</f>
        <v>OK</v>
      </c>
      <c r="K219" s="11" t="str">
        <f aca="false">IF(COUNTIF(Raw_Data!$A$2:A219,Raw_Data!A219)&gt;1,"DUP","UNIQUE")</f>
        <v>UNIQUE</v>
      </c>
      <c r="L219" s="11" t="str">
        <f aca="false">IF(Raw_Data!B219&lt;&gt;Thresholds!$E$1,"STALE","CURRENT")</f>
        <v>CURRENT</v>
      </c>
    </row>
    <row r="220" customFormat="false" ht="15" hidden="false" customHeight="false" outlineLevel="0" collapsed="false">
      <c r="A220" s="15" t="str">
        <f aca="false">Raw_Data!A220</f>
        <v>P0216</v>
      </c>
      <c r="B220" s="15" t="str">
        <f aca="false">Raw_Data!C220</f>
        <v>Singapore Equities</v>
      </c>
      <c r="C220" s="11" t="str">
        <f aca="false">IFERROR(INDEX(Thresholds!$A$2:$A$5,MATCH(TRIM(Raw_Data!D220),Thresholds!$A$2:$A$5,0)),"UNMAPPED")</f>
        <v>Equity</v>
      </c>
      <c r="D220" s="16" t="n">
        <f aca="false">Raw_Data!G220</f>
        <v>47423</v>
      </c>
      <c r="E220" s="17" t="n">
        <f aca="false">Raw_Data!H220</f>
        <v>20.91</v>
      </c>
      <c r="F220" s="14" t="n">
        <f aca="false">IF(Raw_Data!I220="","",Raw_Data!I220)</f>
        <v>20.84</v>
      </c>
      <c r="G220" s="18" t="n">
        <f aca="false">IF(F220="","",(E220-F220)/F220)</f>
        <v>0.00335892514395395</v>
      </c>
      <c r="H220" s="19" t="n">
        <f aca="false">IFERROR(INDEX(Thresholds!$B$2:$B$5,MATCH(C220,Thresholds!$A$2:$A$5,0)),"")</f>
        <v>0.01</v>
      </c>
      <c r="I220" s="20" t="n">
        <f aca="false">IF(F220="","",D220*(E220-F220))</f>
        <v>3319.61000000001</v>
      </c>
      <c r="J220" s="11" t="str">
        <f aca="false">IF(C220="UNMAPPED","UNMAPPED ASSET CLASS",IF(F220="","NO INDEPENDENT PRICE",IF(ABS(G220)&gt;H220,"BREACH","OK")))</f>
        <v>OK</v>
      </c>
      <c r="K220" s="11" t="str">
        <f aca="false">IF(COUNTIF(Raw_Data!$A$2:A220,Raw_Data!A220)&gt;1,"DUP","UNIQUE")</f>
        <v>UNIQUE</v>
      </c>
      <c r="L220" s="11" t="str">
        <f aca="false">IF(Raw_Data!B220&lt;&gt;Thresholds!$E$1,"STALE","CURRENT")</f>
        <v>CURRENT</v>
      </c>
    </row>
    <row r="221" customFormat="false" ht="15" hidden="false" customHeight="false" outlineLevel="0" collapsed="false">
      <c r="A221" s="15" t="str">
        <f aca="false">Raw_Data!A221</f>
        <v>P0217</v>
      </c>
      <c r="B221" s="15" t="str">
        <f aca="false">Raw_Data!C221</f>
        <v>London Rates</v>
      </c>
      <c r="C221" s="11" t="str">
        <f aca="false">IFERROR(INDEX(Thresholds!$A$2:$A$5,MATCH(TRIM(Raw_Data!D221),Thresholds!$A$2:$A$5,0)),"UNMAPPED")</f>
        <v>UNMAPPED</v>
      </c>
      <c r="D221" s="16" t="n">
        <f aca="false">Raw_Data!G221</f>
        <v>18779</v>
      </c>
      <c r="E221" s="17" t="n">
        <f aca="false">Raw_Data!H221</f>
        <v>101.261</v>
      </c>
      <c r="F221" s="14" t="n">
        <f aca="false">IF(Raw_Data!I221="","",Raw_Data!I221)</f>
        <v>101.179</v>
      </c>
      <c r="G221" s="18" t="n">
        <f aca="false">IF(F221="","",(E221-F221)/F221)</f>
        <v>0.000810444855157628</v>
      </c>
      <c r="H221" s="19" t="str">
        <f aca="false">IFERROR(INDEX(Thresholds!$B$2:$B$5,MATCH(C221,Thresholds!$A$2:$A$5,0)),"")</f>
        <v/>
      </c>
      <c r="I221" s="20" t="n">
        <f aca="false">IF(F221="","",D221*(E221-F221))</f>
        <v>1539.87799999988</v>
      </c>
      <c r="J221" s="11" t="str">
        <f aca="false">IF(C221="UNMAPPED","UNMAPPED ASSET CLASS",IF(F221="","NO INDEPENDENT PRICE",IF(ABS(G221)&gt;H221,"BREACH","OK")))</f>
        <v>UNMAPPED ASSET CLASS</v>
      </c>
      <c r="K221" s="11" t="str">
        <f aca="false">IF(COUNTIF(Raw_Data!$A$2:A221,Raw_Data!A221)&gt;1,"DUP","UNIQUE")</f>
        <v>UNIQUE</v>
      </c>
      <c r="L221" s="11" t="str">
        <f aca="false">IF(Raw_Data!B221&lt;&gt;Thresholds!$E$1,"STALE","CURRENT")</f>
        <v>CURRENT</v>
      </c>
    </row>
    <row r="222" customFormat="false" ht="15" hidden="false" customHeight="false" outlineLevel="0" collapsed="false">
      <c r="A222" s="15" t="str">
        <f aca="false">Raw_Data!A222</f>
        <v>P0218</v>
      </c>
      <c r="B222" s="15" t="str">
        <f aca="false">Raw_Data!C222</f>
        <v>New York Credit</v>
      </c>
      <c r="C222" s="11" t="str">
        <f aca="false">IFERROR(INDEX(Thresholds!$A$2:$A$5,MATCH(TRIM(Raw_Data!D222),Thresholds!$A$2:$A$5,0)),"UNMAPPED")</f>
        <v>Corporate Bond</v>
      </c>
      <c r="D222" s="16" t="n">
        <f aca="false">Raw_Data!G222</f>
        <v>19346</v>
      </c>
      <c r="E222" s="17" t="n">
        <f aca="false">Raw_Data!H222</f>
        <v>95.361</v>
      </c>
      <c r="F222" s="14" t="n">
        <f aca="false">IF(Raw_Data!I222="","",Raw_Data!I222)</f>
        <v>95.361</v>
      </c>
      <c r="G222" s="18" t="n">
        <f aca="false">IF(F222="","",(E222-F222)/F222)</f>
        <v>0</v>
      </c>
      <c r="H222" s="19" t="n">
        <f aca="false">IFERROR(INDEX(Thresholds!$B$2:$B$5,MATCH(C222,Thresholds!$A$2:$A$5,0)),"")</f>
        <v>0.005</v>
      </c>
      <c r="I222" s="20" t="n">
        <f aca="false">IF(F222="","",D222*(E222-F222))</f>
        <v>0</v>
      </c>
      <c r="J222" s="11" t="str">
        <f aca="false">IF(C222="UNMAPPED","UNMAPPED ASSET CLASS",IF(F222="","NO INDEPENDENT PRICE",IF(ABS(G222)&gt;H222,"BREACH","OK")))</f>
        <v>OK</v>
      </c>
      <c r="K222" s="11" t="str">
        <f aca="false">IF(COUNTIF(Raw_Data!$A$2:A222,Raw_Data!A222)&gt;1,"DUP","UNIQUE")</f>
        <v>UNIQUE</v>
      </c>
      <c r="L222" s="11" t="str">
        <f aca="false">IF(Raw_Data!B222&lt;&gt;Thresholds!$E$1,"STALE","CURRENT")</f>
        <v>CURRENT</v>
      </c>
    </row>
    <row r="223" customFormat="false" ht="15" hidden="false" customHeight="false" outlineLevel="0" collapsed="false">
      <c r="A223" s="15" t="str">
        <f aca="false">Raw_Data!A223</f>
        <v>P0219</v>
      </c>
      <c r="B223" s="15" t="str">
        <f aca="false">Raw_Data!C223</f>
        <v>Singapore FX</v>
      </c>
      <c r="C223" s="11" t="str">
        <f aca="false">IFERROR(INDEX(Thresholds!$A$2:$A$5,MATCH(TRIM(Raw_Data!D223),Thresholds!$A$2:$A$5,0)),"UNMAPPED")</f>
        <v>FX Forward</v>
      </c>
      <c r="D223" s="16" t="n">
        <f aca="false">Raw_Data!G223</f>
        <v>1300558</v>
      </c>
      <c r="E223" s="17" t="n">
        <f aca="false">Raw_Data!H223</f>
        <v>1.51283</v>
      </c>
      <c r="F223" s="14" t="n">
        <f aca="false">IF(Raw_Data!I223="","",Raw_Data!I223)</f>
        <v>1.51065</v>
      </c>
      <c r="G223" s="18" t="n">
        <f aca="false">IF(F223="","",(E223-F223)/F223)</f>
        <v>0.00144308741270304</v>
      </c>
      <c r="H223" s="19" t="n">
        <f aca="false">IFERROR(INDEX(Thresholds!$B$2:$B$5,MATCH(C223,Thresholds!$A$2:$A$5,0)),"")</f>
        <v>0.003</v>
      </c>
      <c r="I223" s="20" t="n">
        <f aca="false">IF(F223="","",D223*(E223-F223))</f>
        <v>2835.2164399998</v>
      </c>
      <c r="J223" s="11" t="str">
        <f aca="false">IF(C223="UNMAPPED","UNMAPPED ASSET CLASS",IF(F223="","NO INDEPENDENT PRICE",IF(ABS(G223)&gt;H223,"BREACH","OK")))</f>
        <v>OK</v>
      </c>
      <c r="K223" s="11" t="str">
        <f aca="false">IF(COUNTIF(Raw_Data!$A$2:A223,Raw_Data!A223)&gt;1,"DUP","UNIQUE")</f>
        <v>UNIQUE</v>
      </c>
      <c r="L223" s="11" t="str">
        <f aca="false">IF(Raw_Data!B223&lt;&gt;Thresholds!$E$1,"STALE","CURRENT")</f>
        <v>CURRENT</v>
      </c>
    </row>
    <row r="224" customFormat="false" ht="15" hidden="false" customHeight="false" outlineLevel="0" collapsed="false">
      <c r="A224" s="15" t="str">
        <f aca="false">Raw_Data!A224</f>
        <v>P0220</v>
      </c>
      <c r="B224" s="15" t="str">
        <f aca="false">Raw_Data!C224</f>
        <v>Singapore FX</v>
      </c>
      <c r="C224" s="11" t="str">
        <f aca="false">IFERROR(INDEX(Thresholds!$A$2:$A$5,MATCH(TRIM(Raw_Data!D224),Thresholds!$A$2:$A$5,0)),"UNMAPPED")</f>
        <v>FX Forward</v>
      </c>
      <c r="D224" s="16" t="n">
        <f aca="false">Raw_Data!G224</f>
        <v>4685197</v>
      </c>
      <c r="E224" s="17" t="n">
        <f aca="false">Raw_Data!H224</f>
        <v>1.50121</v>
      </c>
      <c r="F224" s="14" t="n">
        <f aca="false">IF(Raw_Data!I224="","",Raw_Data!I224)</f>
        <v>1.49948</v>
      </c>
      <c r="G224" s="18" t="n">
        <f aca="false">IF(F224="","",(E224-F224)/F224)</f>
        <v>0.00115373329420867</v>
      </c>
      <c r="H224" s="19" t="n">
        <f aca="false">IFERROR(INDEX(Thresholds!$B$2:$B$5,MATCH(C224,Thresholds!$A$2:$A$5,0)),"")</f>
        <v>0.003</v>
      </c>
      <c r="I224" s="20" t="n">
        <f aca="false">IF(F224="","",D224*(E224-F224))</f>
        <v>8105.39081000004</v>
      </c>
      <c r="J224" s="11" t="str">
        <f aca="false">IF(C224="UNMAPPED","UNMAPPED ASSET CLASS",IF(F224="","NO INDEPENDENT PRICE",IF(ABS(G224)&gt;H224,"BREACH","OK")))</f>
        <v>OK</v>
      </c>
      <c r="K224" s="11" t="str">
        <f aca="false">IF(COUNTIF(Raw_Data!$A$2:A224,Raw_Data!A224)&gt;1,"DUP","UNIQUE")</f>
        <v>UNIQUE</v>
      </c>
      <c r="L224" s="11" t="str">
        <f aca="false">IF(Raw_Data!B224&lt;&gt;Thresholds!$E$1,"STALE","CURRENT")</f>
        <v>CURRENT</v>
      </c>
    </row>
    <row r="225" customFormat="false" ht="15" hidden="false" customHeight="false" outlineLevel="0" collapsed="false">
      <c r="A225" s="15" t="str">
        <f aca="false">Raw_Data!A225</f>
        <v>P0221</v>
      </c>
      <c r="B225" s="15" t="str">
        <f aca="false">Raw_Data!C225</f>
        <v>New York Rates</v>
      </c>
      <c r="C225" s="11" t="str">
        <f aca="false">IFERROR(INDEX(Thresholds!$A$2:$A$5,MATCH(TRIM(Raw_Data!D225),Thresholds!$A$2:$A$5,0)),"UNMAPPED")</f>
        <v>Government Bond</v>
      </c>
      <c r="D225" s="16" t="n">
        <f aca="false">Raw_Data!G225</f>
        <v>17334</v>
      </c>
      <c r="E225" s="17" t="n">
        <f aca="false">Raw_Data!H225</f>
        <v>99.306</v>
      </c>
      <c r="F225" s="14" t="n">
        <f aca="false">IF(Raw_Data!I225="","",Raw_Data!I225)</f>
        <v>99.27</v>
      </c>
      <c r="G225" s="18" t="n">
        <f aca="false">IF(F225="","",(E225-F225)/F225)</f>
        <v>0.000362647325475988</v>
      </c>
      <c r="H225" s="19" t="n">
        <f aca="false">IFERROR(INDEX(Thresholds!$B$2:$B$5,MATCH(C225,Thresholds!$A$2:$A$5,0)),"")</f>
        <v>0.0025</v>
      </c>
      <c r="I225" s="20" t="n">
        <f aca="false">IF(F225="","",D225*(E225-F225))</f>
        <v>624.024000000024</v>
      </c>
      <c r="J225" s="11" t="str">
        <f aca="false">IF(C225="UNMAPPED","UNMAPPED ASSET CLASS",IF(F225="","NO INDEPENDENT PRICE",IF(ABS(G225)&gt;H225,"BREACH","OK")))</f>
        <v>OK</v>
      </c>
      <c r="K225" s="11" t="str">
        <f aca="false">IF(COUNTIF(Raw_Data!$A$2:A225,Raw_Data!A225)&gt;1,"DUP","UNIQUE")</f>
        <v>UNIQUE</v>
      </c>
      <c r="L225" s="11" t="str">
        <f aca="false">IF(Raw_Data!B225&lt;&gt;Thresholds!$E$1,"STALE","CURRENT")</f>
        <v>CURRENT</v>
      </c>
    </row>
    <row r="226" customFormat="false" ht="15" hidden="false" customHeight="false" outlineLevel="0" collapsed="false">
      <c r="A226" s="15" t="str">
        <f aca="false">Raw_Data!A226</f>
        <v>P0222</v>
      </c>
      <c r="B226" s="15" t="str">
        <f aca="false">Raw_Data!C226</f>
        <v>New York Credit</v>
      </c>
      <c r="C226" s="11" t="str">
        <f aca="false">IFERROR(INDEX(Thresholds!$A$2:$A$5,MATCH(TRIM(Raw_Data!D226),Thresholds!$A$2:$A$5,0)),"UNMAPPED")</f>
        <v>Corporate Bond</v>
      </c>
      <c r="D226" s="16" t="n">
        <f aca="false">Raw_Data!G226</f>
        <v>9101</v>
      </c>
      <c r="E226" s="17" t="n">
        <f aca="false">Raw_Data!H226</f>
        <v>96.147</v>
      </c>
      <c r="F226" s="14" t="n">
        <f aca="false">IF(Raw_Data!I226="","",Raw_Data!I226)</f>
        <v>96.299</v>
      </c>
      <c r="G226" s="18" t="n">
        <f aca="false">IF(F226="","",(E226-F226)/F226)</f>
        <v>-0.00157841722136264</v>
      </c>
      <c r="H226" s="19" t="n">
        <f aca="false">IFERROR(INDEX(Thresholds!$B$2:$B$5,MATCH(C226,Thresholds!$A$2:$A$5,0)),"")</f>
        <v>0.005</v>
      </c>
      <c r="I226" s="20" t="n">
        <f aca="false">IF(F226="","",D226*(E226-F226))</f>
        <v>-1383.35200000001</v>
      </c>
      <c r="J226" s="11" t="str">
        <f aca="false">IF(C226="UNMAPPED","UNMAPPED ASSET CLASS",IF(F226="","NO INDEPENDENT PRICE",IF(ABS(G226)&gt;H226,"BREACH","OK")))</f>
        <v>OK</v>
      </c>
      <c r="K226" s="11" t="str">
        <f aca="false">IF(COUNTIF(Raw_Data!$A$2:A226,Raw_Data!A226)&gt;1,"DUP","UNIQUE")</f>
        <v>UNIQUE</v>
      </c>
      <c r="L226" s="11" t="str">
        <f aca="false">IF(Raw_Data!B226&lt;&gt;Thresholds!$E$1,"STALE","CURRENT")</f>
        <v>CURRENT</v>
      </c>
    </row>
    <row r="227" customFormat="false" ht="15" hidden="false" customHeight="false" outlineLevel="0" collapsed="false">
      <c r="A227" s="15" t="str">
        <f aca="false">Raw_Data!A227</f>
        <v>P0223</v>
      </c>
      <c r="B227" s="15" t="str">
        <f aca="false">Raw_Data!C227</f>
        <v>Zurich FX</v>
      </c>
      <c r="C227" s="11" t="str">
        <f aca="false">IFERROR(INDEX(Thresholds!$A$2:$A$5,MATCH(TRIM(Raw_Data!D227),Thresholds!$A$2:$A$5,0)),"UNMAPPED")</f>
        <v>FX Forward</v>
      </c>
      <c r="D227" s="16" t="n">
        <f aca="false">Raw_Data!G227</f>
        <v>1085377</v>
      </c>
      <c r="E227" s="17" t="n">
        <f aca="false">Raw_Data!H227</f>
        <v>1.06145</v>
      </c>
      <c r="F227" s="14" t="n">
        <f aca="false">IF(Raw_Data!I227="","",Raw_Data!I227)</f>
        <v>1.05369</v>
      </c>
      <c r="G227" s="18" t="n">
        <f aca="false">IF(F227="","",(E227-F227)/F227)</f>
        <v>0.00736459489982821</v>
      </c>
      <c r="H227" s="19" t="n">
        <f aca="false">IFERROR(INDEX(Thresholds!$B$2:$B$5,MATCH(C227,Thresholds!$A$2:$A$5,0)),"")</f>
        <v>0.003</v>
      </c>
      <c r="I227" s="20" t="n">
        <f aca="false">IF(F227="","",D227*(E227-F227))</f>
        <v>8422.52551999999</v>
      </c>
      <c r="J227" s="11" t="str">
        <f aca="false">IF(C227="UNMAPPED","UNMAPPED ASSET CLASS",IF(F227="","NO INDEPENDENT PRICE",IF(ABS(G227)&gt;H227,"BREACH","OK")))</f>
        <v>BREACH</v>
      </c>
      <c r="K227" s="11" t="str">
        <f aca="false">IF(COUNTIF(Raw_Data!$A$2:A227,Raw_Data!A227)&gt;1,"DUP","UNIQUE")</f>
        <v>UNIQUE</v>
      </c>
      <c r="L227" s="11" t="str">
        <f aca="false">IF(Raw_Data!B227&lt;&gt;Thresholds!$E$1,"STALE","CURRENT")</f>
        <v>CURRENT</v>
      </c>
    </row>
    <row r="228" customFormat="false" ht="15" hidden="false" customHeight="false" outlineLevel="0" collapsed="false">
      <c r="A228" s="15" t="str">
        <f aca="false">Raw_Data!A228</f>
        <v>P0224</v>
      </c>
      <c r="B228" s="15" t="str">
        <f aca="false">Raw_Data!C228</f>
        <v>Zurich Equities</v>
      </c>
      <c r="C228" s="11" t="str">
        <f aca="false">IFERROR(INDEX(Thresholds!$A$2:$A$5,MATCH(TRIM(Raw_Data!D228),Thresholds!$A$2:$A$5,0)),"UNMAPPED")</f>
        <v>Equity</v>
      </c>
      <c r="D228" s="16" t="n">
        <f aca="false">Raw_Data!G228</f>
        <v>2704</v>
      </c>
      <c r="E228" s="17" t="n">
        <f aca="false">Raw_Data!H228</f>
        <v>182.1</v>
      </c>
      <c r="F228" s="14" t="n">
        <f aca="false">IF(Raw_Data!I228="","",Raw_Data!I228)</f>
        <v>186.12</v>
      </c>
      <c r="G228" s="18" t="n">
        <f aca="false">IF(F228="","",(E228-F228)/F228)</f>
        <v>-0.0215989684074791</v>
      </c>
      <c r="H228" s="19" t="n">
        <f aca="false">IFERROR(INDEX(Thresholds!$B$2:$B$5,MATCH(C228,Thresholds!$A$2:$A$5,0)),"")</f>
        <v>0.01</v>
      </c>
      <c r="I228" s="20" t="n">
        <f aca="false">IF(F228="","",D228*(E228-F228))</f>
        <v>-10870.08</v>
      </c>
      <c r="J228" s="11" t="str">
        <f aca="false">IF(C228="UNMAPPED","UNMAPPED ASSET CLASS",IF(F228="","NO INDEPENDENT PRICE",IF(ABS(G228)&gt;H228,"BREACH","OK")))</f>
        <v>BREACH</v>
      </c>
      <c r="K228" s="11" t="str">
        <f aca="false">IF(COUNTIF(Raw_Data!$A$2:A228,Raw_Data!A228)&gt;1,"DUP","UNIQUE")</f>
        <v>UNIQUE</v>
      </c>
      <c r="L228" s="11" t="str">
        <f aca="false">IF(Raw_Data!B228&lt;&gt;Thresholds!$E$1,"STALE","CURRENT")</f>
        <v>CURRENT</v>
      </c>
    </row>
    <row r="229" customFormat="false" ht="15" hidden="false" customHeight="false" outlineLevel="0" collapsed="false">
      <c r="A229" s="15" t="str">
        <f aca="false">Raw_Data!A229</f>
        <v>P0225</v>
      </c>
      <c r="B229" s="15" t="str">
        <f aca="false">Raw_Data!C229</f>
        <v>Zurich Equities</v>
      </c>
      <c r="C229" s="11" t="str">
        <f aca="false">IFERROR(INDEX(Thresholds!$A$2:$A$5,MATCH(TRIM(Raw_Data!D229),Thresholds!$A$2:$A$5,0)),"UNMAPPED")</f>
        <v>Equity</v>
      </c>
      <c r="D229" s="16" t="n">
        <f aca="false">Raw_Data!G229</f>
        <v>3958</v>
      </c>
      <c r="E229" s="17" t="n">
        <f aca="false">Raw_Data!H229</f>
        <v>184.76</v>
      </c>
      <c r="F229" s="14" t="n">
        <f aca="false">IF(Raw_Data!I229="","",Raw_Data!I229)</f>
        <v>183.32</v>
      </c>
      <c r="G229" s="18" t="n">
        <f aca="false">IF(F229="","",(E229-F229)/F229)</f>
        <v>0.00785511673576259</v>
      </c>
      <c r="H229" s="19" t="n">
        <f aca="false">IFERROR(INDEX(Thresholds!$B$2:$B$5,MATCH(C229,Thresholds!$A$2:$A$5,0)),"")</f>
        <v>0.01</v>
      </c>
      <c r="I229" s="20" t="n">
        <f aca="false">IF(F229="","",D229*(E229-F229))</f>
        <v>5699.51999999999</v>
      </c>
      <c r="J229" s="11" t="str">
        <f aca="false">IF(C229="UNMAPPED","UNMAPPED ASSET CLASS",IF(F229="","NO INDEPENDENT PRICE",IF(ABS(G229)&gt;H229,"BREACH","OK")))</f>
        <v>OK</v>
      </c>
      <c r="K229" s="11" t="str">
        <f aca="false">IF(COUNTIF(Raw_Data!$A$2:A229,Raw_Data!A229)&gt;1,"DUP","UNIQUE")</f>
        <v>UNIQUE</v>
      </c>
      <c r="L229" s="11" t="str">
        <f aca="false">IF(Raw_Data!B229&lt;&gt;Thresholds!$E$1,"STALE","CURRENT")</f>
        <v>CURRENT</v>
      </c>
    </row>
    <row r="230" customFormat="false" ht="15" hidden="false" customHeight="false" outlineLevel="0" collapsed="false">
      <c r="A230" s="15" t="str">
        <f aca="false">Raw_Data!A230</f>
        <v>P0226</v>
      </c>
      <c r="B230" s="15" t="str">
        <f aca="false">Raw_Data!C230</f>
        <v>Zurich FX</v>
      </c>
      <c r="C230" s="11" t="str">
        <f aca="false">IFERROR(INDEX(Thresholds!$A$2:$A$5,MATCH(TRIM(Raw_Data!D230),Thresholds!$A$2:$A$5,0)),"UNMAPPED")</f>
        <v>FX Forward</v>
      </c>
      <c r="D230" s="16" t="n">
        <f aca="false">Raw_Data!G230</f>
        <v>2393654</v>
      </c>
      <c r="E230" s="17" t="n">
        <f aca="false">Raw_Data!H230</f>
        <v>1.09838</v>
      </c>
      <c r="F230" s="14" t="n">
        <f aca="false">IF(Raw_Data!I230="","",Raw_Data!I230)</f>
        <v>1.09879</v>
      </c>
      <c r="G230" s="18" t="n">
        <f aca="false">IF(F230="","",(E230-F230)/F230)</f>
        <v>-0.000373137724223939</v>
      </c>
      <c r="H230" s="19" t="n">
        <f aca="false">IFERROR(INDEX(Thresholds!$B$2:$B$5,MATCH(C230,Thresholds!$A$2:$A$5,0)),"")</f>
        <v>0.003</v>
      </c>
      <c r="I230" s="20" t="n">
        <f aca="false">IF(F230="","",D230*(E230-F230))</f>
        <v>-981.398140000051</v>
      </c>
      <c r="J230" s="11" t="str">
        <f aca="false">IF(C230="UNMAPPED","UNMAPPED ASSET CLASS",IF(F230="","NO INDEPENDENT PRICE",IF(ABS(G230)&gt;H230,"BREACH","OK")))</f>
        <v>OK</v>
      </c>
      <c r="K230" s="11" t="str">
        <f aca="false">IF(COUNTIF(Raw_Data!$A$2:A230,Raw_Data!A230)&gt;1,"DUP","UNIQUE")</f>
        <v>UNIQUE</v>
      </c>
      <c r="L230" s="11" t="str">
        <f aca="false">IF(Raw_Data!B230&lt;&gt;Thresholds!$E$1,"STALE","CURRENT")</f>
        <v>CURRENT</v>
      </c>
    </row>
    <row r="231" customFormat="false" ht="15" hidden="false" customHeight="false" outlineLevel="0" collapsed="false">
      <c r="A231" s="15" t="str">
        <f aca="false">Raw_Data!A231</f>
        <v>P0227</v>
      </c>
      <c r="B231" s="15" t="str">
        <f aca="false">Raw_Data!C231</f>
        <v>Singapore Equities</v>
      </c>
      <c r="C231" s="11" t="str">
        <f aca="false">IFERROR(INDEX(Thresholds!$A$2:$A$5,MATCH(TRIM(Raw_Data!D231),Thresholds!$A$2:$A$5,0)),"UNMAPPED")</f>
        <v>Equity</v>
      </c>
      <c r="D231" s="16" t="n">
        <f aca="false">Raw_Data!G231</f>
        <v>4854</v>
      </c>
      <c r="E231" s="17" t="n">
        <f aca="false">Raw_Data!H231</f>
        <v>280.13</v>
      </c>
      <c r="F231" s="14" t="n">
        <f aca="false">IF(Raw_Data!I231="","",Raw_Data!I231)</f>
        <v>278.66</v>
      </c>
      <c r="G231" s="18" t="n">
        <f aca="false">IF(F231="","",(E231-F231)/F231)</f>
        <v>0.00527524581927787</v>
      </c>
      <c r="H231" s="19" t="n">
        <f aca="false">IFERROR(INDEX(Thresholds!$B$2:$B$5,MATCH(C231,Thresholds!$A$2:$A$5,0)),"")</f>
        <v>0.01</v>
      </c>
      <c r="I231" s="20" t="n">
        <f aca="false">IF(F231="","",D231*(E231-F231))</f>
        <v>7135.37999999986</v>
      </c>
      <c r="J231" s="11" t="str">
        <f aca="false">IF(C231="UNMAPPED","UNMAPPED ASSET CLASS",IF(F231="","NO INDEPENDENT PRICE",IF(ABS(G231)&gt;H231,"BREACH","OK")))</f>
        <v>OK</v>
      </c>
      <c r="K231" s="11" t="str">
        <f aca="false">IF(COUNTIF(Raw_Data!$A$2:A231,Raw_Data!A231)&gt;1,"DUP","UNIQUE")</f>
        <v>UNIQUE</v>
      </c>
      <c r="L231" s="11" t="str">
        <f aca="false">IF(Raw_Data!B231&lt;&gt;Thresholds!$E$1,"STALE","CURRENT")</f>
        <v>CURRENT</v>
      </c>
    </row>
    <row r="232" customFormat="false" ht="15" hidden="false" customHeight="false" outlineLevel="0" collapsed="false">
      <c r="A232" s="15" t="str">
        <f aca="false">Raw_Data!A232</f>
        <v>P0228</v>
      </c>
      <c r="B232" s="15" t="str">
        <f aca="false">Raw_Data!C232</f>
        <v>London Credit</v>
      </c>
      <c r="C232" s="11" t="str">
        <f aca="false">IFERROR(INDEX(Thresholds!$A$2:$A$5,MATCH(TRIM(Raw_Data!D232),Thresholds!$A$2:$A$5,0)),"UNMAPPED")</f>
        <v>Corporate Bond</v>
      </c>
      <c r="D232" s="16" t="n">
        <f aca="false">Raw_Data!G232</f>
        <v>14624</v>
      </c>
      <c r="E232" s="17" t="n">
        <f aca="false">Raw_Data!H232</f>
        <v>93.028</v>
      </c>
      <c r="F232" s="14" t="n">
        <f aca="false">IF(Raw_Data!I232="","",Raw_Data!I232)</f>
        <v>93.272</v>
      </c>
      <c r="G232" s="18" t="n">
        <f aca="false">IF(F232="","",(E232-F232)/F232)</f>
        <v>-0.00261600480315636</v>
      </c>
      <c r="H232" s="19" t="n">
        <f aca="false">IFERROR(INDEX(Thresholds!$B$2:$B$5,MATCH(C232,Thresholds!$A$2:$A$5,0)),"")</f>
        <v>0.005</v>
      </c>
      <c r="I232" s="20" t="n">
        <f aca="false">IF(F232="","",D232*(E232-F232))</f>
        <v>-3568.256</v>
      </c>
      <c r="J232" s="11" t="str">
        <f aca="false">IF(C232="UNMAPPED","UNMAPPED ASSET CLASS",IF(F232="","NO INDEPENDENT PRICE",IF(ABS(G232)&gt;H232,"BREACH","OK")))</f>
        <v>OK</v>
      </c>
      <c r="K232" s="11" t="str">
        <f aca="false">IF(COUNTIF(Raw_Data!$A$2:A232,Raw_Data!A232)&gt;1,"DUP","UNIQUE")</f>
        <v>UNIQUE</v>
      </c>
      <c r="L232" s="11" t="str">
        <f aca="false">IF(Raw_Data!B232&lt;&gt;Thresholds!$E$1,"STALE","CURRENT")</f>
        <v>CURRENT</v>
      </c>
    </row>
    <row r="233" customFormat="false" ht="15" hidden="false" customHeight="false" outlineLevel="0" collapsed="false">
      <c r="A233" s="15" t="str">
        <f aca="false">Raw_Data!A233</f>
        <v>P0229</v>
      </c>
      <c r="B233" s="15" t="str">
        <f aca="false">Raw_Data!C233</f>
        <v>London Credit</v>
      </c>
      <c r="C233" s="11" t="str">
        <f aca="false">IFERROR(INDEX(Thresholds!$A$2:$A$5,MATCH(TRIM(Raw_Data!D233),Thresholds!$A$2:$A$5,0)),"UNMAPPED")</f>
        <v>Corporate Bond</v>
      </c>
      <c r="D233" s="16" t="n">
        <f aca="false">Raw_Data!G233</f>
        <v>5182</v>
      </c>
      <c r="E233" s="17" t="n">
        <f aca="false">Raw_Data!H233</f>
        <v>105.448</v>
      </c>
      <c r="F233" s="14" t="n">
        <f aca="false">IF(Raw_Data!I233="","",Raw_Data!I233)</f>
        <v>105.197</v>
      </c>
      <c r="G233" s="18" t="n">
        <f aca="false">IF(F233="","",(E233-F233)/F233)</f>
        <v>0.00238599960074898</v>
      </c>
      <c r="H233" s="19" t="n">
        <f aca="false">IFERROR(INDEX(Thresholds!$B$2:$B$5,MATCH(C233,Thresholds!$A$2:$A$5,0)),"")</f>
        <v>0.005</v>
      </c>
      <c r="I233" s="20" t="n">
        <f aca="false">IF(F233="","",D233*(E233-F233))</f>
        <v>1300.68199999995</v>
      </c>
      <c r="J233" s="11" t="str">
        <f aca="false">IF(C233="UNMAPPED","UNMAPPED ASSET CLASS",IF(F233="","NO INDEPENDENT PRICE",IF(ABS(G233)&gt;H233,"BREACH","OK")))</f>
        <v>OK</v>
      </c>
      <c r="K233" s="11" t="str">
        <f aca="false">IF(COUNTIF(Raw_Data!$A$2:A233,Raw_Data!A233)&gt;1,"DUP","UNIQUE")</f>
        <v>UNIQUE</v>
      </c>
      <c r="L233" s="11" t="str">
        <f aca="false">IF(Raw_Data!B233&lt;&gt;Thresholds!$E$1,"STALE","CURRENT")</f>
        <v>CURRENT</v>
      </c>
    </row>
    <row r="234" customFormat="false" ht="15" hidden="false" customHeight="false" outlineLevel="0" collapsed="false">
      <c r="A234" s="15" t="str">
        <f aca="false">Raw_Data!A234</f>
        <v>P0230</v>
      </c>
      <c r="B234" s="15" t="str">
        <f aca="false">Raw_Data!C234</f>
        <v>Singapore FX</v>
      </c>
      <c r="C234" s="11" t="str">
        <f aca="false">IFERROR(INDEX(Thresholds!$A$2:$A$5,MATCH(TRIM(Raw_Data!D234),Thresholds!$A$2:$A$5,0)),"UNMAPPED")</f>
        <v>FX Forward</v>
      </c>
      <c r="D234" s="16" t="n">
        <f aca="false">Raw_Data!G234</f>
        <v>3420259</v>
      </c>
      <c r="E234" s="17" t="n">
        <f aca="false">Raw_Data!H234</f>
        <v>1.59269</v>
      </c>
      <c r="F234" s="14" t="n">
        <f aca="false">IF(Raw_Data!I234="","",Raw_Data!I234)</f>
        <v>1.59454</v>
      </c>
      <c r="G234" s="18" t="n">
        <f aca="false">IF(F234="","",(E234-F234)/F234)</f>
        <v>-0.00116020921394266</v>
      </c>
      <c r="H234" s="19" t="n">
        <f aca="false">IFERROR(INDEX(Thresholds!$B$2:$B$5,MATCH(C234,Thresholds!$A$2:$A$5,0)),"")</f>
        <v>0.003</v>
      </c>
      <c r="I234" s="20" t="n">
        <f aca="false">IF(F234="","",D234*(E234-F234))</f>
        <v>-6327.47915000044</v>
      </c>
      <c r="J234" s="11" t="str">
        <f aca="false">IF(C234="UNMAPPED","UNMAPPED ASSET CLASS",IF(F234="","NO INDEPENDENT PRICE",IF(ABS(G234)&gt;H234,"BREACH","OK")))</f>
        <v>OK</v>
      </c>
      <c r="K234" s="11" t="str">
        <f aca="false">IF(COUNTIF(Raw_Data!$A$2:A234,Raw_Data!A234)&gt;1,"DUP","UNIQUE")</f>
        <v>UNIQUE</v>
      </c>
      <c r="L234" s="11" t="str">
        <f aca="false">IF(Raw_Data!B234&lt;&gt;Thresholds!$E$1,"STALE","CURRENT")</f>
        <v>CURRENT</v>
      </c>
    </row>
    <row r="235" customFormat="false" ht="15" hidden="false" customHeight="false" outlineLevel="0" collapsed="false">
      <c r="A235" s="15" t="str">
        <f aca="false">Raw_Data!A235</f>
        <v>P0231</v>
      </c>
      <c r="B235" s="15" t="str">
        <f aca="false">Raw_Data!C235</f>
        <v>Singapore FX</v>
      </c>
      <c r="C235" s="11" t="str">
        <f aca="false">IFERROR(INDEX(Thresholds!$A$2:$A$5,MATCH(TRIM(Raw_Data!D235),Thresholds!$A$2:$A$5,0)),"UNMAPPED")</f>
        <v>FX Forward</v>
      </c>
      <c r="D235" s="16" t="n">
        <f aca="false">Raw_Data!G235</f>
        <v>4511997</v>
      </c>
      <c r="E235" s="17" t="n">
        <f aca="false">Raw_Data!H235</f>
        <v>1.4697</v>
      </c>
      <c r="F235" s="14" t="n">
        <f aca="false">IF(Raw_Data!I235="","",Raw_Data!I235)</f>
        <v>1.46803</v>
      </c>
      <c r="G235" s="18" t="n">
        <f aca="false">IF(F235="","",(E235-F235)/F235)</f>
        <v>0.00113757893231069</v>
      </c>
      <c r="H235" s="19" t="n">
        <f aca="false">IFERROR(INDEX(Thresholds!$B$2:$B$5,MATCH(C235,Thresholds!$A$2:$A$5,0)),"")</f>
        <v>0.003</v>
      </c>
      <c r="I235" s="20" t="n">
        <f aca="false">IF(F235="","",D235*(E235-F235))</f>
        <v>7535.03499000027</v>
      </c>
      <c r="J235" s="11" t="str">
        <f aca="false">IF(C235="UNMAPPED","UNMAPPED ASSET CLASS",IF(F235="","NO INDEPENDENT PRICE",IF(ABS(G235)&gt;H235,"BREACH","OK")))</f>
        <v>OK</v>
      </c>
      <c r="K235" s="11" t="str">
        <f aca="false">IF(COUNTIF(Raw_Data!$A$2:A235,Raw_Data!A235)&gt;1,"DUP","UNIQUE")</f>
        <v>UNIQUE</v>
      </c>
      <c r="L235" s="11" t="str">
        <f aca="false">IF(Raw_Data!B235&lt;&gt;Thresholds!$E$1,"STALE","CURRENT")</f>
        <v>CURRENT</v>
      </c>
    </row>
    <row r="236" customFormat="false" ht="15" hidden="false" customHeight="false" outlineLevel="0" collapsed="false">
      <c r="A236" s="15" t="str">
        <f aca="false">Raw_Data!A236</f>
        <v>P0232</v>
      </c>
      <c r="B236" s="15" t="str">
        <f aca="false">Raw_Data!C236</f>
        <v>London Credit</v>
      </c>
      <c r="C236" s="11" t="str">
        <f aca="false">IFERROR(INDEX(Thresholds!$A$2:$A$5,MATCH(TRIM(Raw_Data!D236),Thresholds!$A$2:$A$5,0)),"UNMAPPED")</f>
        <v>Corporate Bond</v>
      </c>
      <c r="D236" s="16" t="n">
        <f aca="false">Raw_Data!G236</f>
        <v>11710</v>
      </c>
      <c r="E236" s="17" t="n">
        <f aca="false">Raw_Data!H236</f>
        <v>92.805</v>
      </c>
      <c r="F236" s="14" t="n">
        <f aca="false">IF(Raw_Data!I236="","",Raw_Data!I236)</f>
        <v>92.921</v>
      </c>
      <c r="G236" s="18" t="n">
        <f aca="false">IF(F236="","",(E236-F236)/F236)</f>
        <v>-0.00124837227322133</v>
      </c>
      <c r="H236" s="19" t="n">
        <f aca="false">IFERROR(INDEX(Thresholds!$B$2:$B$5,MATCH(C236,Thresholds!$A$2:$A$5,0)),"")</f>
        <v>0.005</v>
      </c>
      <c r="I236" s="20" t="n">
        <f aca="false">IF(F236="","",D236*(E236-F236))</f>
        <v>-1358.36</v>
      </c>
      <c r="J236" s="11" t="str">
        <f aca="false">IF(C236="UNMAPPED","UNMAPPED ASSET CLASS",IF(F236="","NO INDEPENDENT PRICE",IF(ABS(G236)&gt;H236,"BREACH","OK")))</f>
        <v>OK</v>
      </c>
      <c r="K236" s="11" t="str">
        <f aca="false">IF(COUNTIF(Raw_Data!$A$2:A236,Raw_Data!A236)&gt;1,"DUP","UNIQUE")</f>
        <v>UNIQUE</v>
      </c>
      <c r="L236" s="11" t="str">
        <f aca="false">IF(Raw_Data!B236&lt;&gt;Thresholds!$E$1,"STALE","CURRENT")</f>
        <v>CURRENT</v>
      </c>
    </row>
    <row r="237" customFormat="false" ht="15" hidden="false" customHeight="false" outlineLevel="0" collapsed="false">
      <c r="A237" s="15" t="str">
        <f aca="false">Raw_Data!A237</f>
        <v>P0233</v>
      </c>
      <c r="B237" s="15" t="str">
        <f aca="false">Raw_Data!C237</f>
        <v>Singapore FX</v>
      </c>
      <c r="C237" s="11" t="str">
        <f aca="false">IFERROR(INDEX(Thresholds!$A$2:$A$5,MATCH(TRIM(Raw_Data!D237),Thresholds!$A$2:$A$5,0)),"UNMAPPED")</f>
        <v>FX Forward</v>
      </c>
      <c r="D237" s="16" t="n">
        <f aca="false">Raw_Data!G237</f>
        <v>1247387</v>
      </c>
      <c r="E237" s="17" t="n">
        <f aca="false">Raw_Data!H237</f>
        <v>1.27776</v>
      </c>
      <c r="F237" s="14" t="n">
        <f aca="false">IF(Raw_Data!I237="","",Raw_Data!I237)</f>
        <v>1.27827</v>
      </c>
      <c r="G237" s="18" t="n">
        <f aca="false">IF(F237="","",(E237-F237)/F237)</f>
        <v>-0.000398976742002871</v>
      </c>
      <c r="H237" s="19" t="n">
        <f aca="false">IFERROR(INDEX(Thresholds!$B$2:$B$5,MATCH(C237,Thresholds!$A$2:$A$5,0)),"")</f>
        <v>0.003</v>
      </c>
      <c r="I237" s="20" t="n">
        <f aca="false">IF(F237="","",D237*(E237-F237))</f>
        <v>-636.167370000013</v>
      </c>
      <c r="J237" s="11" t="str">
        <f aca="false">IF(C237="UNMAPPED","UNMAPPED ASSET CLASS",IF(F237="","NO INDEPENDENT PRICE",IF(ABS(G237)&gt;H237,"BREACH","OK")))</f>
        <v>OK</v>
      </c>
      <c r="K237" s="11" t="str">
        <f aca="false">IF(COUNTIF(Raw_Data!$A$2:A237,Raw_Data!A237)&gt;1,"DUP","UNIQUE")</f>
        <v>UNIQUE</v>
      </c>
      <c r="L237" s="11" t="str">
        <f aca="false">IF(Raw_Data!B237&lt;&gt;Thresholds!$E$1,"STALE","CURRENT")</f>
        <v>CURRENT</v>
      </c>
    </row>
    <row r="238" customFormat="false" ht="15" hidden="false" customHeight="false" outlineLevel="0" collapsed="false">
      <c r="A238" s="15" t="str">
        <f aca="false">Raw_Data!A238</f>
        <v>P0234</v>
      </c>
      <c r="B238" s="15" t="str">
        <f aca="false">Raw_Data!C238</f>
        <v>Singapore FX</v>
      </c>
      <c r="C238" s="11" t="str">
        <f aca="false">IFERROR(INDEX(Thresholds!$A$2:$A$5,MATCH(TRIM(Raw_Data!D238),Thresholds!$A$2:$A$5,0)),"UNMAPPED")</f>
        <v>FX Forward</v>
      </c>
      <c r="D238" s="16" t="n">
        <f aca="false">Raw_Data!G238</f>
        <v>2089825</v>
      </c>
      <c r="E238" s="17" t="n">
        <f aca="false">Raw_Data!H238</f>
        <v>0.79922</v>
      </c>
      <c r="F238" s="14" t="n">
        <f aca="false">IF(Raw_Data!I238="","",Raw_Data!I238)</f>
        <v>0.80025</v>
      </c>
      <c r="G238" s="18" t="n">
        <f aca="false">IF(F238="","",(E238-F238)/F238)</f>
        <v>-0.00128709778194311</v>
      </c>
      <c r="H238" s="19" t="n">
        <f aca="false">IFERROR(INDEX(Thresholds!$B$2:$B$5,MATCH(C238,Thresholds!$A$2:$A$5,0)),"")</f>
        <v>0.003</v>
      </c>
      <c r="I238" s="20" t="n">
        <f aca="false">IF(F238="","",D238*(E238-F238))</f>
        <v>-2152.51974999995</v>
      </c>
      <c r="J238" s="11" t="str">
        <f aca="false">IF(C238="UNMAPPED","UNMAPPED ASSET CLASS",IF(F238="","NO INDEPENDENT PRICE",IF(ABS(G238)&gt;H238,"BREACH","OK")))</f>
        <v>OK</v>
      </c>
      <c r="K238" s="11" t="str">
        <f aca="false">IF(COUNTIF(Raw_Data!$A$2:A238,Raw_Data!A238)&gt;1,"DUP","UNIQUE")</f>
        <v>UNIQUE</v>
      </c>
      <c r="L238" s="11" t="str">
        <f aca="false">IF(Raw_Data!B238&lt;&gt;Thresholds!$E$1,"STALE","CURRENT")</f>
        <v>CURRENT</v>
      </c>
    </row>
    <row r="239" customFormat="false" ht="15" hidden="false" customHeight="false" outlineLevel="0" collapsed="false">
      <c r="A239" s="15" t="str">
        <f aca="false">Raw_Data!A239</f>
        <v>P0235</v>
      </c>
      <c r="B239" s="15" t="str">
        <f aca="false">Raw_Data!C239</f>
        <v>Singapore Equities</v>
      </c>
      <c r="C239" s="11" t="str">
        <f aca="false">IFERROR(INDEX(Thresholds!$A$2:$A$5,MATCH(TRIM(Raw_Data!D239),Thresholds!$A$2:$A$5,0)),"UNMAPPED")</f>
        <v>Equity</v>
      </c>
      <c r="D239" s="16" t="n">
        <f aca="false">Raw_Data!G239</f>
        <v>12125</v>
      </c>
      <c r="E239" s="17" t="n">
        <f aca="false">Raw_Data!H239</f>
        <v>59.25</v>
      </c>
      <c r="F239" s="14" t="n">
        <f aca="false">IF(Raw_Data!I239="","",Raw_Data!I239)</f>
        <v>60.86</v>
      </c>
      <c r="G239" s="18" t="n">
        <f aca="false">IF(F239="","",(E239-F239)/F239)</f>
        <v>-0.0264541570818271</v>
      </c>
      <c r="H239" s="19" t="n">
        <f aca="false">IFERROR(INDEX(Thresholds!$B$2:$B$5,MATCH(C239,Thresholds!$A$2:$A$5,0)),"")</f>
        <v>0.01</v>
      </c>
      <c r="I239" s="20" t="n">
        <f aca="false">IF(F239="","",D239*(E239-F239))</f>
        <v>-19521.25</v>
      </c>
      <c r="J239" s="11" t="str">
        <f aca="false">IF(C239="UNMAPPED","UNMAPPED ASSET CLASS",IF(F239="","NO INDEPENDENT PRICE",IF(ABS(G239)&gt;H239,"BREACH","OK")))</f>
        <v>BREACH</v>
      </c>
      <c r="K239" s="11" t="str">
        <f aca="false">IF(COUNTIF(Raw_Data!$A$2:A239,Raw_Data!A239)&gt;1,"DUP","UNIQUE")</f>
        <v>UNIQUE</v>
      </c>
      <c r="L239" s="11" t="str">
        <f aca="false">IF(Raw_Data!B239&lt;&gt;Thresholds!$E$1,"STALE","CURRENT")</f>
        <v>CURRENT</v>
      </c>
    </row>
    <row r="240" customFormat="false" ht="15" hidden="false" customHeight="false" outlineLevel="0" collapsed="false">
      <c r="A240" s="15" t="str">
        <f aca="false">Raw_Data!A240</f>
        <v>P0236</v>
      </c>
      <c r="B240" s="15" t="str">
        <f aca="false">Raw_Data!C240</f>
        <v>Singapore Equities</v>
      </c>
      <c r="C240" s="11" t="str">
        <f aca="false">IFERROR(INDEX(Thresholds!$A$2:$A$5,MATCH(TRIM(Raw_Data!D240),Thresholds!$A$2:$A$5,0)),"UNMAPPED")</f>
        <v>Equity</v>
      </c>
      <c r="D240" s="16" t="n">
        <f aca="false">Raw_Data!G240</f>
        <v>14140</v>
      </c>
      <c r="E240" s="17" t="n">
        <f aca="false">Raw_Data!H240</f>
        <v>39.84</v>
      </c>
      <c r="F240" s="14" t="n">
        <f aca="false">IF(Raw_Data!I240="","",Raw_Data!I240)</f>
        <v>39.82</v>
      </c>
      <c r="G240" s="18" t="n">
        <f aca="false">IF(F240="","",(E240-F240)/F240)</f>
        <v>0.000502260170768537</v>
      </c>
      <c r="H240" s="19" t="n">
        <f aca="false">IFERROR(INDEX(Thresholds!$B$2:$B$5,MATCH(C240,Thresholds!$A$2:$A$5,0)),"")</f>
        <v>0.01</v>
      </c>
      <c r="I240" s="20" t="n">
        <f aca="false">IF(F240="","",D240*(E240-F240))</f>
        <v>282.800000000044</v>
      </c>
      <c r="J240" s="11" t="str">
        <f aca="false">IF(C240="UNMAPPED","UNMAPPED ASSET CLASS",IF(F240="","NO INDEPENDENT PRICE",IF(ABS(G240)&gt;H240,"BREACH","OK")))</f>
        <v>OK</v>
      </c>
      <c r="K240" s="11" t="str">
        <f aca="false">IF(COUNTIF(Raw_Data!$A$2:A240,Raw_Data!A240)&gt;1,"DUP","UNIQUE")</f>
        <v>UNIQUE</v>
      </c>
      <c r="L240" s="11" t="str">
        <f aca="false">IF(Raw_Data!B240&lt;&gt;Thresholds!$E$1,"STALE","CURRENT")</f>
        <v>CURRENT</v>
      </c>
    </row>
    <row r="241" customFormat="false" ht="15" hidden="false" customHeight="false" outlineLevel="0" collapsed="false">
      <c r="A241" s="15" t="str">
        <f aca="false">Raw_Data!A241</f>
        <v>P0237</v>
      </c>
      <c r="B241" s="15" t="str">
        <f aca="false">Raw_Data!C241</f>
        <v>New York Credit</v>
      </c>
      <c r="C241" s="11" t="str">
        <f aca="false">IFERROR(INDEX(Thresholds!$A$2:$A$5,MATCH(TRIM(Raw_Data!D241),Thresholds!$A$2:$A$5,0)),"UNMAPPED")</f>
        <v>Corporate Bond</v>
      </c>
      <c r="D241" s="16" t="n">
        <f aca="false">Raw_Data!G241</f>
        <v>13423</v>
      </c>
      <c r="E241" s="17" t="n">
        <f aca="false">Raw_Data!H241</f>
        <v>103.155</v>
      </c>
      <c r="F241" s="14" t="n">
        <f aca="false">IF(Raw_Data!I241="","",Raw_Data!I241)</f>
        <v>103.314</v>
      </c>
      <c r="G241" s="18" t="n">
        <f aca="false">IF(F241="","",(E241-F241)/F241)</f>
        <v>-0.00153899761890927</v>
      </c>
      <c r="H241" s="19" t="n">
        <f aca="false">IFERROR(INDEX(Thresholds!$B$2:$B$5,MATCH(C241,Thresholds!$A$2:$A$5,0)),"")</f>
        <v>0.005</v>
      </c>
      <c r="I241" s="20" t="n">
        <f aca="false">IF(F241="","",D241*(E241-F241))</f>
        <v>-2134.25699999989</v>
      </c>
      <c r="J241" s="11" t="str">
        <f aca="false">IF(C241="UNMAPPED","UNMAPPED ASSET CLASS",IF(F241="","NO INDEPENDENT PRICE",IF(ABS(G241)&gt;H241,"BREACH","OK")))</f>
        <v>OK</v>
      </c>
      <c r="K241" s="11" t="str">
        <f aca="false">IF(COUNTIF(Raw_Data!$A$2:A241,Raw_Data!A241)&gt;1,"DUP","UNIQUE")</f>
        <v>UNIQUE</v>
      </c>
      <c r="L241" s="11" t="str">
        <f aca="false">IF(Raw_Data!B241&lt;&gt;Thresholds!$E$1,"STALE","CURRENT")</f>
        <v>CURRENT</v>
      </c>
    </row>
    <row r="242" customFormat="false" ht="15" hidden="false" customHeight="false" outlineLevel="0" collapsed="false">
      <c r="A242" s="15" t="str">
        <f aca="false">Raw_Data!A242</f>
        <v>P0238</v>
      </c>
      <c r="B242" s="15" t="str">
        <f aca="false">Raw_Data!C242</f>
        <v>London Rates</v>
      </c>
      <c r="C242" s="11" t="str">
        <f aca="false">IFERROR(INDEX(Thresholds!$A$2:$A$5,MATCH(TRIM(Raw_Data!D242),Thresholds!$A$2:$A$5,0)),"UNMAPPED")</f>
        <v>Government Bond</v>
      </c>
      <c r="D242" s="16" t="n">
        <f aca="false">Raw_Data!G242</f>
        <v>18844</v>
      </c>
      <c r="E242" s="17" t="n">
        <f aca="false">Raw_Data!H242</f>
        <v>99.401</v>
      </c>
      <c r="F242" s="14" t="n">
        <f aca="false">IF(Raw_Data!I242="","",Raw_Data!I242)</f>
        <v>99.358</v>
      </c>
      <c r="G242" s="18" t="n">
        <f aca="false">IF(F242="","",(E242-F242)/F242)</f>
        <v>0.000432778437569115</v>
      </c>
      <c r="H242" s="19" t="n">
        <f aca="false">IFERROR(INDEX(Thresholds!$B$2:$B$5,MATCH(C242,Thresholds!$A$2:$A$5,0)),"")</f>
        <v>0.0025</v>
      </c>
      <c r="I242" s="20" t="n">
        <f aca="false">IF(F242="","",D242*(E242-F242))</f>
        <v>810.291999999852</v>
      </c>
      <c r="J242" s="11" t="str">
        <f aca="false">IF(C242="UNMAPPED","UNMAPPED ASSET CLASS",IF(F242="","NO INDEPENDENT PRICE",IF(ABS(G242)&gt;H242,"BREACH","OK")))</f>
        <v>OK</v>
      </c>
      <c r="K242" s="11" t="str">
        <f aca="false">IF(COUNTIF(Raw_Data!$A$2:A242,Raw_Data!A242)&gt;1,"DUP","UNIQUE")</f>
        <v>UNIQUE</v>
      </c>
      <c r="L242" s="11" t="str">
        <f aca="false">IF(Raw_Data!B242&lt;&gt;Thresholds!$E$1,"STALE","CURRENT")</f>
        <v>CURRENT</v>
      </c>
    </row>
    <row r="243" customFormat="false" ht="15" hidden="false" customHeight="false" outlineLevel="0" collapsed="false">
      <c r="A243" s="15" t="str">
        <f aca="false">Raw_Data!A243</f>
        <v>P0239</v>
      </c>
      <c r="B243" s="15" t="str">
        <f aca="false">Raw_Data!C243</f>
        <v>London Credit</v>
      </c>
      <c r="C243" s="11" t="str">
        <f aca="false">IFERROR(INDEX(Thresholds!$A$2:$A$5,MATCH(TRIM(Raw_Data!D243),Thresholds!$A$2:$A$5,0)),"UNMAPPED")</f>
        <v>Corporate Bond</v>
      </c>
      <c r="D243" s="16" t="n">
        <f aca="false">Raw_Data!G243</f>
        <v>5884</v>
      </c>
      <c r="E243" s="17" t="n">
        <f aca="false">Raw_Data!H243</f>
        <v>93.204</v>
      </c>
      <c r="F243" s="14" t="n">
        <f aca="false">IF(Raw_Data!I243="","",Raw_Data!I243)</f>
        <v>93.283</v>
      </c>
      <c r="G243" s="18" t="n">
        <f aca="false">IF(F243="","",(E243-F243)/F243)</f>
        <v>-0.000846885284564259</v>
      </c>
      <c r="H243" s="19" t="n">
        <f aca="false">IFERROR(INDEX(Thresholds!$B$2:$B$5,MATCH(C243,Thresholds!$A$2:$A$5,0)),"")</f>
        <v>0.005</v>
      </c>
      <c r="I243" s="20" t="n">
        <f aca="false">IF(F243="","",D243*(E243-F243))</f>
        <v>-464.836000000046</v>
      </c>
      <c r="J243" s="11" t="str">
        <f aca="false">IF(C243="UNMAPPED","UNMAPPED ASSET CLASS",IF(F243="","NO INDEPENDENT PRICE",IF(ABS(G243)&gt;H243,"BREACH","OK")))</f>
        <v>OK</v>
      </c>
      <c r="K243" s="11" t="str">
        <f aca="false">IF(COUNTIF(Raw_Data!$A$2:A243,Raw_Data!A243)&gt;1,"DUP","UNIQUE")</f>
        <v>UNIQUE</v>
      </c>
      <c r="L243" s="11" t="str">
        <f aca="false">IF(Raw_Data!B243&lt;&gt;Thresholds!$E$1,"STALE","CURRENT")</f>
        <v>CURRENT</v>
      </c>
    </row>
    <row r="244" customFormat="false" ht="15" hidden="false" customHeight="false" outlineLevel="0" collapsed="false">
      <c r="A244" s="15" t="str">
        <f aca="false">Raw_Data!A244</f>
        <v>P0240</v>
      </c>
      <c r="B244" s="15" t="str">
        <f aca="false">Raw_Data!C244</f>
        <v>Singapore Equities</v>
      </c>
      <c r="C244" s="11" t="str">
        <f aca="false">IFERROR(INDEX(Thresholds!$A$2:$A$5,MATCH(TRIM(Raw_Data!D244),Thresholds!$A$2:$A$5,0)),"UNMAPPED")</f>
        <v>Equity</v>
      </c>
      <c r="D244" s="16" t="n">
        <f aca="false">Raw_Data!G244</f>
        <v>6888</v>
      </c>
      <c r="E244" s="17" t="n">
        <f aca="false">Raw_Data!H244</f>
        <v>280.89</v>
      </c>
      <c r="F244" s="14" t="n">
        <f aca="false">IF(Raw_Data!I244="","",Raw_Data!I244)</f>
        <v>281.05</v>
      </c>
      <c r="G244" s="18" t="n">
        <f aca="false">IF(F244="","",(E244-F244)/F244)</f>
        <v>-0.000569293719978741</v>
      </c>
      <c r="H244" s="19" t="n">
        <f aca="false">IFERROR(INDEX(Thresholds!$B$2:$B$5,MATCH(C244,Thresholds!$A$2:$A$5,0)),"")</f>
        <v>0.01</v>
      </c>
      <c r="I244" s="20" t="n">
        <f aca="false">IF(F244="","",D244*(E244-F244))</f>
        <v>-1102.08000000017</v>
      </c>
      <c r="J244" s="11" t="str">
        <f aca="false">IF(C244="UNMAPPED","UNMAPPED ASSET CLASS",IF(F244="","NO INDEPENDENT PRICE",IF(ABS(G244)&gt;H244,"BREACH","OK")))</f>
        <v>OK</v>
      </c>
      <c r="K244" s="11" t="str">
        <f aca="false">IF(COUNTIF(Raw_Data!$A$2:A244,Raw_Data!A244)&gt;1,"DUP","UNIQUE")</f>
        <v>UNIQUE</v>
      </c>
      <c r="L244" s="11" t="str">
        <f aca="false">IF(Raw_Data!B244&lt;&gt;Thresholds!$E$1,"STALE","CURRENT")</f>
        <v>CURRENT</v>
      </c>
    </row>
    <row r="245" customFormat="false" ht="15" hidden="false" customHeight="false" outlineLevel="0" collapsed="false">
      <c r="A245" s="15" t="str">
        <f aca="false">Raw_Data!A245</f>
        <v>P0241</v>
      </c>
      <c r="B245" s="15" t="str">
        <f aca="false">Raw_Data!C245</f>
        <v>Zurich FX</v>
      </c>
      <c r="C245" s="11" t="str">
        <f aca="false">IFERROR(INDEX(Thresholds!$A$2:$A$5,MATCH(TRIM(Raw_Data!D245),Thresholds!$A$2:$A$5,0)),"UNMAPPED")</f>
        <v>FX Forward</v>
      </c>
      <c r="D245" s="16" t="n">
        <f aca="false">Raw_Data!G245</f>
        <v>1495568</v>
      </c>
      <c r="E245" s="17" t="n">
        <f aca="false">Raw_Data!H245</f>
        <v>1.36037</v>
      </c>
      <c r="F245" s="14" t="n">
        <f aca="false">IF(Raw_Data!I245="","",Raw_Data!I245)</f>
        <v>1.3483</v>
      </c>
      <c r="G245" s="18" t="n">
        <f aca="false">IF(F245="","",(E245-F245)/F245)</f>
        <v>0.00895201364681453</v>
      </c>
      <c r="H245" s="19" t="n">
        <f aca="false">IFERROR(INDEX(Thresholds!$B$2:$B$5,MATCH(C245,Thresholds!$A$2:$A$5,0)),"")</f>
        <v>0.003</v>
      </c>
      <c r="I245" s="20" t="n">
        <f aca="false">IF(F245="","",D245*(E245-F245))</f>
        <v>18051.50576</v>
      </c>
      <c r="J245" s="11" t="str">
        <f aca="false">IF(C245="UNMAPPED","UNMAPPED ASSET CLASS",IF(F245="","NO INDEPENDENT PRICE",IF(ABS(G245)&gt;H245,"BREACH","OK")))</f>
        <v>BREACH</v>
      </c>
      <c r="K245" s="11" t="str">
        <f aca="false">IF(COUNTIF(Raw_Data!$A$2:A245,Raw_Data!A245)&gt;1,"DUP","UNIQUE")</f>
        <v>UNIQUE</v>
      </c>
      <c r="L245" s="11" t="str">
        <f aca="false">IF(Raw_Data!B245&lt;&gt;Thresholds!$E$1,"STALE","CURRENT")</f>
        <v>CURRENT</v>
      </c>
    </row>
    <row r="246" customFormat="false" ht="15" hidden="false" customHeight="false" outlineLevel="0" collapsed="false">
      <c r="A246" s="15" t="str">
        <f aca="false">Raw_Data!A246</f>
        <v>P0242</v>
      </c>
      <c r="B246" s="15" t="str">
        <f aca="false">Raw_Data!C246</f>
        <v>Singapore Equities</v>
      </c>
      <c r="C246" s="11" t="str">
        <f aca="false">IFERROR(INDEX(Thresholds!$A$2:$A$5,MATCH(TRIM(Raw_Data!D246),Thresholds!$A$2:$A$5,0)),"UNMAPPED")</f>
        <v>Equity</v>
      </c>
      <c r="D246" s="16" t="n">
        <f aca="false">Raw_Data!G246</f>
        <v>9165</v>
      </c>
      <c r="E246" s="17" t="n">
        <f aca="false">Raw_Data!H246</f>
        <v>121.36</v>
      </c>
      <c r="F246" s="14" t="n">
        <f aca="false">IF(Raw_Data!I246="","",Raw_Data!I246)</f>
        <v>121.6</v>
      </c>
      <c r="G246" s="18" t="n">
        <f aca="false">IF(F246="","",(E246-F246)/F246)</f>
        <v>-0.00197368421052627</v>
      </c>
      <c r="H246" s="19" t="n">
        <f aca="false">IFERROR(INDEX(Thresholds!$B$2:$B$5,MATCH(C246,Thresholds!$A$2:$A$5,0)),"")</f>
        <v>0.01</v>
      </c>
      <c r="I246" s="20" t="n">
        <f aca="false">IF(F246="","",D246*(E246-F246))</f>
        <v>-2199.59999999995</v>
      </c>
      <c r="J246" s="11" t="str">
        <f aca="false">IF(C246="UNMAPPED","UNMAPPED ASSET CLASS",IF(F246="","NO INDEPENDENT PRICE",IF(ABS(G246)&gt;H246,"BREACH","OK")))</f>
        <v>OK</v>
      </c>
      <c r="K246" s="11" t="str">
        <f aca="false">IF(COUNTIF(Raw_Data!$A$2:A246,Raw_Data!A246)&gt;1,"DUP","UNIQUE")</f>
        <v>UNIQUE</v>
      </c>
      <c r="L246" s="11" t="str">
        <f aca="false">IF(Raw_Data!B246&lt;&gt;Thresholds!$E$1,"STALE","CURRENT")</f>
        <v>CURRENT</v>
      </c>
    </row>
    <row r="247" customFormat="false" ht="15" hidden="false" customHeight="false" outlineLevel="0" collapsed="false">
      <c r="A247" s="15" t="str">
        <f aca="false">Raw_Data!A247</f>
        <v>P0243</v>
      </c>
      <c r="B247" s="15" t="str">
        <f aca="false">Raw_Data!C247</f>
        <v>Zurich Equities</v>
      </c>
      <c r="C247" s="11" t="str">
        <f aca="false">IFERROR(INDEX(Thresholds!$A$2:$A$5,MATCH(TRIM(Raw_Data!D247),Thresholds!$A$2:$A$5,0)),"UNMAPPED")</f>
        <v>Equity</v>
      </c>
      <c r="D247" s="16" t="n">
        <f aca="false">Raw_Data!G247</f>
        <v>32121</v>
      </c>
      <c r="E247" s="17" t="n">
        <f aca="false">Raw_Data!H247</f>
        <v>187.7</v>
      </c>
      <c r="F247" s="14" t="n">
        <f aca="false">IF(Raw_Data!I247="","",Raw_Data!I247)</f>
        <v>188.87</v>
      </c>
      <c r="G247" s="18" t="n">
        <f aca="false">IF(F247="","",(E247-F247)/F247)</f>
        <v>-0.00619473712077099</v>
      </c>
      <c r="H247" s="19" t="n">
        <f aca="false">IFERROR(INDEX(Thresholds!$B$2:$B$5,MATCH(C247,Thresholds!$A$2:$A$5,0)),"")</f>
        <v>0.01</v>
      </c>
      <c r="I247" s="20" t="n">
        <f aca="false">IF(F247="","",D247*(E247-F247))</f>
        <v>-37581.5700000005</v>
      </c>
      <c r="J247" s="11" t="str">
        <f aca="false">IF(C247="UNMAPPED","UNMAPPED ASSET CLASS",IF(F247="","NO INDEPENDENT PRICE",IF(ABS(G247)&gt;H247,"BREACH","OK")))</f>
        <v>OK</v>
      </c>
      <c r="K247" s="11" t="str">
        <f aca="false">IF(COUNTIF(Raw_Data!$A$2:A247,Raw_Data!A247)&gt;1,"DUP","UNIQUE")</f>
        <v>UNIQUE</v>
      </c>
      <c r="L247" s="11" t="str">
        <f aca="false">IF(Raw_Data!B247&lt;&gt;Thresholds!$E$1,"STALE","CURRENT")</f>
        <v>CURRENT</v>
      </c>
    </row>
    <row r="248" customFormat="false" ht="15" hidden="false" customHeight="false" outlineLevel="0" collapsed="false">
      <c r="A248" s="15" t="str">
        <f aca="false">Raw_Data!A248</f>
        <v>P0244</v>
      </c>
      <c r="B248" s="15" t="str">
        <f aca="false">Raw_Data!C248</f>
        <v>London Rates</v>
      </c>
      <c r="C248" s="11" t="str">
        <f aca="false">IFERROR(INDEX(Thresholds!$A$2:$A$5,MATCH(TRIM(Raw_Data!D248),Thresholds!$A$2:$A$5,0)),"UNMAPPED")</f>
        <v>Government Bond</v>
      </c>
      <c r="D248" s="16" t="n">
        <f aca="false">Raw_Data!G248</f>
        <v>19087</v>
      </c>
      <c r="E248" s="17" t="n">
        <f aca="false">Raw_Data!H248</f>
        <v>97.919</v>
      </c>
      <c r="F248" s="14" t="n">
        <f aca="false">IF(Raw_Data!I248="","",Raw_Data!I248)</f>
        <v>97.854</v>
      </c>
      <c r="G248" s="18" t="n">
        <f aca="false">IF(F248="","",(E248-F248)/F248)</f>
        <v>0.00066425491037666</v>
      </c>
      <c r="H248" s="19" t="n">
        <f aca="false">IFERROR(INDEX(Thresholds!$B$2:$B$5,MATCH(C248,Thresholds!$A$2:$A$5,0)),"")</f>
        <v>0.0025</v>
      </c>
      <c r="I248" s="20" t="n">
        <f aca="false">IF(F248="","",D248*(E248-F248))</f>
        <v>1240.65499999996</v>
      </c>
      <c r="J248" s="11" t="str">
        <f aca="false">IF(C248="UNMAPPED","UNMAPPED ASSET CLASS",IF(F248="","NO INDEPENDENT PRICE",IF(ABS(G248)&gt;H248,"BREACH","OK")))</f>
        <v>OK</v>
      </c>
      <c r="K248" s="11" t="str">
        <f aca="false">IF(COUNTIF(Raw_Data!$A$2:A248,Raw_Data!A248)&gt;1,"DUP","UNIQUE")</f>
        <v>UNIQUE</v>
      </c>
      <c r="L248" s="11" t="str">
        <f aca="false">IF(Raw_Data!B248&lt;&gt;Thresholds!$E$1,"STALE","CURRENT")</f>
        <v>CURRENT</v>
      </c>
    </row>
    <row r="249" customFormat="false" ht="15" hidden="false" customHeight="false" outlineLevel="0" collapsed="false">
      <c r="A249" s="15" t="str">
        <f aca="false">Raw_Data!A249</f>
        <v>P0245</v>
      </c>
      <c r="B249" s="15" t="str">
        <f aca="false">Raw_Data!C249</f>
        <v>New York Credit</v>
      </c>
      <c r="C249" s="11" t="str">
        <f aca="false">IFERROR(INDEX(Thresholds!$A$2:$A$5,MATCH(TRIM(Raw_Data!D249),Thresholds!$A$2:$A$5,0)),"UNMAPPED")</f>
        <v>Corporate Bond</v>
      </c>
      <c r="D249" s="16" t="n">
        <f aca="false">Raw_Data!G249</f>
        <v>8457</v>
      </c>
      <c r="E249" s="17" t="n">
        <f aca="false">Raw_Data!H249</f>
        <v>96.883</v>
      </c>
      <c r="F249" s="14" t="n">
        <f aca="false">IF(Raw_Data!I249="","",Raw_Data!I249)</f>
        <v>97.017</v>
      </c>
      <c r="G249" s="18" t="n">
        <f aca="false">IF(F249="","",(E249-F249)/F249)</f>
        <v>-0.00138120123277364</v>
      </c>
      <c r="H249" s="19" t="n">
        <f aca="false">IFERROR(INDEX(Thresholds!$B$2:$B$5,MATCH(C249,Thresholds!$A$2:$A$5,0)),"")</f>
        <v>0.005</v>
      </c>
      <c r="I249" s="20" t="n">
        <f aca="false">IF(F249="","",D249*(E249-F249))</f>
        <v>-1133.238</v>
      </c>
      <c r="J249" s="11" t="str">
        <f aca="false">IF(C249="UNMAPPED","UNMAPPED ASSET CLASS",IF(F249="","NO INDEPENDENT PRICE",IF(ABS(G249)&gt;H249,"BREACH","OK")))</f>
        <v>OK</v>
      </c>
      <c r="K249" s="11" t="str">
        <f aca="false">IF(COUNTIF(Raw_Data!$A$2:A249,Raw_Data!A249)&gt;1,"DUP","UNIQUE")</f>
        <v>UNIQUE</v>
      </c>
      <c r="L249" s="11" t="str">
        <f aca="false">IF(Raw_Data!B249&lt;&gt;Thresholds!$E$1,"STALE","CURRENT")</f>
        <v>CURRENT</v>
      </c>
    </row>
    <row r="250" customFormat="false" ht="15" hidden="false" customHeight="false" outlineLevel="0" collapsed="false">
      <c r="A250" s="15" t="str">
        <f aca="false">Raw_Data!A250</f>
        <v>P0246</v>
      </c>
      <c r="B250" s="15" t="str">
        <f aca="false">Raw_Data!C250</f>
        <v>London Credit</v>
      </c>
      <c r="C250" s="11" t="str">
        <f aca="false">IFERROR(INDEX(Thresholds!$A$2:$A$5,MATCH(TRIM(Raw_Data!D250),Thresholds!$A$2:$A$5,0)),"UNMAPPED")</f>
        <v>Corporate Bond</v>
      </c>
      <c r="D250" s="16" t="n">
        <f aca="false">Raw_Data!G250</f>
        <v>13298</v>
      </c>
      <c r="E250" s="17" t="n">
        <f aca="false">Raw_Data!H250</f>
        <v>106.862</v>
      </c>
      <c r="F250" s="14" t="n">
        <f aca="false">IF(Raw_Data!I250="","",Raw_Data!I250)</f>
        <v>107.383</v>
      </c>
      <c r="G250" s="18" t="n">
        <f aca="false">IF(F250="","",(E250-F250)/F250)</f>
        <v>-0.00485179218312024</v>
      </c>
      <c r="H250" s="19" t="n">
        <f aca="false">IFERROR(INDEX(Thresholds!$B$2:$B$5,MATCH(C250,Thresholds!$A$2:$A$5,0)),"")</f>
        <v>0.005</v>
      </c>
      <c r="I250" s="20" t="n">
        <f aca="false">IF(F250="","",D250*(E250-F250))</f>
        <v>-6928.25800000001</v>
      </c>
      <c r="J250" s="11" t="str">
        <f aca="false">IF(C250="UNMAPPED","UNMAPPED ASSET CLASS",IF(F250="","NO INDEPENDENT PRICE",IF(ABS(G250)&gt;H250,"BREACH","OK")))</f>
        <v>OK</v>
      </c>
      <c r="K250" s="11" t="str">
        <f aca="false">IF(COUNTIF(Raw_Data!$A$2:A250,Raw_Data!A250)&gt;1,"DUP","UNIQUE")</f>
        <v>UNIQUE</v>
      </c>
      <c r="L250" s="11" t="str">
        <f aca="false">IF(Raw_Data!B250&lt;&gt;Thresholds!$E$1,"STALE","CURRENT")</f>
        <v>CURRENT</v>
      </c>
    </row>
    <row r="251" customFormat="false" ht="15" hidden="false" customHeight="false" outlineLevel="0" collapsed="false">
      <c r="A251" s="15" t="str">
        <f aca="false">Raw_Data!A251</f>
        <v>P0247</v>
      </c>
      <c r="B251" s="15" t="str">
        <f aca="false">Raw_Data!C251</f>
        <v>Singapore Equities</v>
      </c>
      <c r="C251" s="11" t="str">
        <f aca="false">IFERROR(INDEX(Thresholds!$A$2:$A$5,MATCH(TRIM(Raw_Data!D251),Thresholds!$A$2:$A$5,0)),"UNMAPPED")</f>
        <v>Equity</v>
      </c>
      <c r="D251" s="16" t="n">
        <f aca="false">Raw_Data!G251</f>
        <v>24907</v>
      </c>
      <c r="E251" s="17" t="n">
        <f aca="false">Raw_Data!H251</f>
        <v>246</v>
      </c>
      <c r="F251" s="14" t="n">
        <f aca="false">IF(Raw_Data!I251="","",Raw_Data!I251)</f>
        <v>246.19</v>
      </c>
      <c r="G251" s="18" t="n">
        <f aca="false">IF(F251="","",(E251-F251)/F251)</f>
        <v>-0.000771761647508013</v>
      </c>
      <c r="H251" s="19" t="n">
        <f aca="false">IFERROR(INDEX(Thresholds!$B$2:$B$5,MATCH(C251,Thresholds!$A$2:$A$5,0)),"")</f>
        <v>0.01</v>
      </c>
      <c r="I251" s="20" t="n">
        <f aca="false">IF(F251="","",D251*(E251-F251))</f>
        <v>-4732.32999999994</v>
      </c>
      <c r="J251" s="11" t="str">
        <f aca="false">IF(C251="UNMAPPED","UNMAPPED ASSET CLASS",IF(F251="","NO INDEPENDENT PRICE",IF(ABS(G251)&gt;H251,"BREACH","OK")))</f>
        <v>OK</v>
      </c>
      <c r="K251" s="11" t="str">
        <f aca="false">IF(COUNTIF(Raw_Data!$A$2:A251,Raw_Data!A251)&gt;1,"DUP","UNIQUE")</f>
        <v>UNIQUE</v>
      </c>
      <c r="L251" s="11" t="str">
        <f aca="false">IF(Raw_Data!B251&lt;&gt;Thresholds!$E$1,"STALE","CURRENT")</f>
        <v>CURRENT</v>
      </c>
    </row>
    <row r="252" customFormat="false" ht="15" hidden="false" customHeight="false" outlineLevel="0" collapsed="false">
      <c r="A252" s="15" t="str">
        <f aca="false">Raw_Data!A252</f>
        <v>P0248</v>
      </c>
      <c r="B252" s="15" t="str">
        <f aca="false">Raw_Data!C252</f>
        <v>London Credit</v>
      </c>
      <c r="C252" s="11" t="str">
        <f aca="false">IFERROR(INDEX(Thresholds!$A$2:$A$5,MATCH(TRIM(Raw_Data!D252),Thresholds!$A$2:$A$5,0)),"UNMAPPED")</f>
        <v>Corporate Bond</v>
      </c>
      <c r="D252" s="16" t="n">
        <f aca="false">Raw_Data!G252</f>
        <v>8361</v>
      </c>
      <c r="E252" s="17" t="n">
        <f aca="false">Raw_Data!H252</f>
        <v>105.095</v>
      </c>
      <c r="F252" s="14" t="n">
        <f aca="false">IF(Raw_Data!I252="","",Raw_Data!I252)</f>
        <v>105.092</v>
      </c>
      <c r="G252" s="18" t="n">
        <f aca="false">IF(F252="","",(E252-F252)/F252)</f>
        <v>2.85464164731865E-005</v>
      </c>
      <c r="H252" s="19" t="n">
        <f aca="false">IFERROR(INDEX(Thresholds!$B$2:$B$5,MATCH(C252,Thresholds!$A$2:$A$5,0)),"")</f>
        <v>0.005</v>
      </c>
      <c r="I252" s="20" t="n">
        <f aca="false">IF(F252="","",D252*(E252-F252))</f>
        <v>25.083000000001</v>
      </c>
      <c r="J252" s="11" t="str">
        <f aca="false">IF(C252="UNMAPPED","UNMAPPED ASSET CLASS",IF(F252="","NO INDEPENDENT PRICE",IF(ABS(G252)&gt;H252,"BREACH","OK")))</f>
        <v>OK</v>
      </c>
      <c r="K252" s="11" t="str">
        <f aca="false">IF(COUNTIF(Raw_Data!$A$2:A252,Raw_Data!A252)&gt;1,"DUP","UNIQUE")</f>
        <v>UNIQUE</v>
      </c>
      <c r="L252" s="11" t="str">
        <f aca="false">IF(Raw_Data!B252&lt;&gt;Thresholds!$E$1,"STALE","CURRENT")</f>
        <v>CURRENT</v>
      </c>
    </row>
    <row r="253" customFormat="false" ht="15" hidden="false" customHeight="false" outlineLevel="0" collapsed="false">
      <c r="A253" s="15" t="str">
        <f aca="false">Raw_Data!A253</f>
        <v>P0249</v>
      </c>
      <c r="B253" s="15" t="str">
        <f aca="false">Raw_Data!C253</f>
        <v>London Rates</v>
      </c>
      <c r="C253" s="11" t="str">
        <f aca="false">IFERROR(INDEX(Thresholds!$A$2:$A$5,MATCH(TRIM(Raw_Data!D253),Thresholds!$A$2:$A$5,0)),"UNMAPPED")</f>
        <v>Government Bond</v>
      </c>
      <c r="D253" s="16" t="n">
        <f aca="false">Raw_Data!G253</f>
        <v>14380</v>
      </c>
      <c r="E253" s="17" t="n">
        <f aca="false">Raw_Data!H253</f>
        <v>99.76</v>
      </c>
      <c r="F253" s="14" t="str">
        <f aca="false">IF(Raw_Data!I253="","",Raw_Data!I253)</f>
        <v/>
      </c>
      <c r="G253" s="18" t="str">
        <f aca="false">IF(F253="","",(E253-F253)/F253)</f>
        <v/>
      </c>
      <c r="H253" s="19" t="n">
        <f aca="false">IFERROR(INDEX(Thresholds!$B$2:$B$5,MATCH(C253,Thresholds!$A$2:$A$5,0)),"")</f>
        <v>0.0025</v>
      </c>
      <c r="I253" s="20" t="str">
        <f aca="false">IF(F253="","",D253*(E253-F253))</f>
        <v/>
      </c>
      <c r="J253" s="11" t="str">
        <f aca="false">IF(C253="UNMAPPED","UNMAPPED ASSET CLASS",IF(F253="","NO INDEPENDENT PRICE",IF(ABS(G253)&gt;H253,"BREACH","OK")))</f>
        <v>NO INDEPENDENT PRICE</v>
      </c>
      <c r="K253" s="11" t="str">
        <f aca="false">IF(COUNTIF(Raw_Data!$A$2:A253,Raw_Data!A253)&gt;1,"DUP","UNIQUE")</f>
        <v>UNIQUE</v>
      </c>
      <c r="L253" s="11" t="str">
        <f aca="false">IF(Raw_Data!B253&lt;&gt;Thresholds!$E$1,"STALE","CURRENT")</f>
        <v>CURRENT</v>
      </c>
    </row>
    <row r="254" customFormat="false" ht="15" hidden="false" customHeight="false" outlineLevel="0" collapsed="false">
      <c r="A254" s="15" t="str">
        <f aca="false">Raw_Data!A254</f>
        <v>P0250</v>
      </c>
      <c r="B254" s="15" t="str">
        <f aca="false">Raw_Data!C254</f>
        <v>Singapore Equities</v>
      </c>
      <c r="C254" s="11" t="str">
        <f aca="false">IFERROR(INDEX(Thresholds!$A$2:$A$5,MATCH(TRIM(Raw_Data!D254),Thresholds!$A$2:$A$5,0)),"UNMAPPED")</f>
        <v>Equity</v>
      </c>
      <c r="D254" s="16" t="n">
        <f aca="false">Raw_Data!G254</f>
        <v>3429</v>
      </c>
      <c r="E254" s="17" t="n">
        <f aca="false">Raw_Data!H254</f>
        <v>273.49</v>
      </c>
      <c r="F254" s="14" t="n">
        <f aca="false">IF(Raw_Data!I254="","",Raw_Data!I254)</f>
        <v>274.29</v>
      </c>
      <c r="G254" s="18" t="n">
        <f aca="false">IF(F254="","",(E254-F254)/F254)</f>
        <v>-0.00291662109446211</v>
      </c>
      <c r="H254" s="19" t="n">
        <f aca="false">IFERROR(INDEX(Thresholds!$B$2:$B$5,MATCH(C254,Thresholds!$A$2:$A$5,0)),"")</f>
        <v>0.01</v>
      </c>
      <c r="I254" s="20" t="n">
        <f aca="false">IF(F254="","",D254*(E254-F254))</f>
        <v>-2743.20000000004</v>
      </c>
      <c r="J254" s="11" t="str">
        <f aca="false">IF(C254="UNMAPPED","UNMAPPED ASSET CLASS",IF(F254="","NO INDEPENDENT PRICE",IF(ABS(G254)&gt;H254,"BREACH","OK")))</f>
        <v>OK</v>
      </c>
      <c r="K254" s="11" t="str">
        <f aca="false">IF(COUNTIF(Raw_Data!$A$2:A254,Raw_Data!A254)&gt;1,"DUP","UNIQUE")</f>
        <v>UNIQUE</v>
      </c>
      <c r="L254" s="11" t="str">
        <f aca="false">IF(Raw_Data!B254&lt;&gt;Thresholds!$E$1,"STALE","CURRENT")</f>
        <v>CURRENT</v>
      </c>
    </row>
    <row r="255" customFormat="false" ht="15" hidden="false" customHeight="false" outlineLevel="0" collapsed="false">
      <c r="A255" s="15" t="str">
        <f aca="false">Raw_Data!A255</f>
        <v>P0241</v>
      </c>
      <c r="B255" s="15" t="str">
        <f aca="false">Raw_Data!C255</f>
        <v>Zurich FX</v>
      </c>
      <c r="C255" s="11" t="str">
        <f aca="false">IFERROR(INDEX(Thresholds!$A$2:$A$5,MATCH(TRIM(Raw_Data!D255),Thresholds!$A$2:$A$5,0)),"UNMAPPED")</f>
        <v>FX Forward</v>
      </c>
      <c r="D255" s="16" t="n">
        <f aca="false">Raw_Data!G255</f>
        <v>1495568</v>
      </c>
      <c r="E255" s="17" t="n">
        <f aca="false">Raw_Data!H255</f>
        <v>1.36037</v>
      </c>
      <c r="F255" s="14" t="n">
        <f aca="false">IF(Raw_Data!I255="","",Raw_Data!I255)</f>
        <v>1.3483</v>
      </c>
      <c r="G255" s="18" t="n">
        <f aca="false">IF(F255="","",(E255-F255)/F255)</f>
        <v>0.00895201364681453</v>
      </c>
      <c r="H255" s="19" t="n">
        <f aca="false">IFERROR(INDEX(Thresholds!$B$2:$B$5,MATCH(C255,Thresholds!$A$2:$A$5,0)),"")</f>
        <v>0.003</v>
      </c>
      <c r="I255" s="20" t="n">
        <f aca="false">IF(F255="","",D255*(E255-F255))</f>
        <v>18051.50576</v>
      </c>
      <c r="J255" s="11" t="str">
        <f aca="false">IF(C255="UNMAPPED","UNMAPPED ASSET CLASS",IF(F255="","NO INDEPENDENT PRICE",IF(ABS(G255)&gt;H255,"BREACH","OK")))</f>
        <v>BREACH</v>
      </c>
      <c r="K255" s="11" t="str">
        <f aca="false">IF(COUNTIF(Raw_Data!$A$2:A255,Raw_Data!A255)&gt;1,"DUP","UNIQUE")</f>
        <v>DUP</v>
      </c>
      <c r="L255" s="11" t="str">
        <f aca="false">IF(Raw_Data!B255&lt;&gt;Thresholds!$E$1,"STALE","CURRENT")</f>
        <v>CURRENT</v>
      </c>
    </row>
  </sheetData>
  <autoFilter ref="A1:L255"/>
  <conditionalFormatting sqref="J2:J255">
    <cfRule type="expression" priority="2" aboveAverage="0" equalAverage="0" bottom="0" percent="0" rank="0" text="" dxfId="7">
      <formula>J2="BREACH"</formula>
    </cfRule>
    <cfRule type="expression" priority="3" aboveAverage="0" equalAverage="0" bottom="0" percent="0" rank="0" text="" dxfId="8">
      <formula>OR(J2="NO INDEPENDENT PRICE",J2="UNMAPPED ASSET CLASS")</formula>
    </cfRule>
  </conditionalFormatting>
  <conditionalFormatting sqref="K2:K255">
    <cfRule type="expression" priority="4" aboveAverage="0" equalAverage="0" bottom="0" percent="0" rank="0" text="" dxfId="9">
      <formula>K2="DUP"</formula>
    </cfRule>
  </conditionalFormatting>
  <conditionalFormatting sqref="L2:L255">
    <cfRule type="expression" priority="5" aboveAverage="0" equalAverage="0" bottom="0" percent="0" rank="0" text="" dxfId="8">
      <formula>L2="STALE"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17.35" hidden="false" customHeight="false" outlineLevel="0" collapsed="false">
      <c r="A1" s="21" t="s">
        <v>570</v>
      </c>
    </row>
    <row r="2" customFormat="false" ht="15" hidden="false" customHeight="false" outlineLevel="0" collapsed="false">
      <c r="A2" s="6" t="s">
        <v>23</v>
      </c>
      <c r="B2" s="22" t="n">
        <f aca="false">Thresholds!E1</f>
        <v>46293</v>
      </c>
    </row>
    <row r="4" customFormat="false" ht="15" hidden="false" customHeight="false" outlineLevel="0" collapsed="false">
      <c r="A4" s="23" t="s">
        <v>571</v>
      </c>
    </row>
    <row r="5" customFormat="false" ht="30" hidden="false" customHeight="true" outlineLevel="0" collapsed="false">
      <c r="A5" s="5" t="s">
        <v>21</v>
      </c>
      <c r="B5" s="5" t="s">
        <v>572</v>
      </c>
      <c r="C5" s="5" t="s">
        <v>573</v>
      </c>
      <c r="D5" s="5" t="s">
        <v>574</v>
      </c>
      <c r="E5" s="5" t="s">
        <v>575</v>
      </c>
      <c r="F5" s="5" t="s">
        <v>576</v>
      </c>
      <c r="G5" s="5" t="s">
        <v>577</v>
      </c>
      <c r="H5" s="5" t="s">
        <v>578</v>
      </c>
    </row>
    <row r="6" customFormat="false" ht="15" hidden="false" customHeight="false" outlineLevel="0" collapsed="false">
      <c r="A6" s="15" t="str">
        <f aca="false">Thresholds!A2</f>
        <v>Equity</v>
      </c>
      <c r="B6" s="13" t="n">
        <f aca="false">COUNTIFS(Checks!$C$2:$C$255,$A6,Checks!$K$2:$K$255,"UNIQUE",Checks!$J$2:$J$255,"OK")+COUNTIFS(Checks!$C$2:$C$255,$A6,Checks!$K$2:$K$255,"UNIQUE",Checks!$J$2:$J$255,"BREACH")</f>
        <v>78</v>
      </c>
      <c r="C6" s="13" t="n">
        <f aca="false">COUNTIFS(Checks!$C$2:$C$255,$A6,Checks!$K$2:$K$255,"UNIQUE",Checks!$J$2:$J$255,"OK")</f>
        <v>67</v>
      </c>
      <c r="D6" s="13" t="n">
        <f aca="false">COUNTIFS(Checks!$C$2:$C$255,$A6,Checks!$K$2:$K$255,"UNIQUE",Checks!$J$2:$J$255,"BREACH")</f>
        <v>11</v>
      </c>
      <c r="E6" s="13" t="n">
        <f aca="false">COUNTIFS(Checks!$C$2:$C$255,$A6,Checks!$K$2:$K$255,"UNIQUE",Checks!$J$2:$J$255,"NO INDEPENDENT PRICE")</f>
        <v>2</v>
      </c>
      <c r="F6" s="24" t="n">
        <f aca="false">IF((C6+D6)=0,0,D6/(C6+D6))</f>
        <v>0.141025641025641</v>
      </c>
      <c r="G6" s="25" t="n">
        <f aca="false">SUMIFS(Checks!$I$2:$I$255,Checks!$C$2:$C$255,$A6,Checks!$K$2:$K$255,"UNIQUE",Checks!$J$2:$J$255,"&lt;&gt;UNMAPPED ASSET CLASS")</f>
        <v>-253878.630000003</v>
      </c>
      <c r="H6" s="25" t="n">
        <f aca="false">SUMIFS(Checks!$I$2:$I$255,Checks!$C$2:$C$255,$A6,Checks!$K$2:$K$255,"UNIQUE",Checks!$J$2:$J$255,"BREACH")</f>
        <v>69544.1600000006</v>
      </c>
    </row>
    <row r="7" customFormat="false" ht="15" hidden="false" customHeight="false" outlineLevel="0" collapsed="false">
      <c r="A7" s="15" t="str">
        <f aca="false">Thresholds!A3</f>
        <v>Corporate Bond</v>
      </c>
      <c r="B7" s="13" t="n">
        <f aca="false">COUNTIFS(Checks!$C$2:$C$255,$A7,Checks!$K$2:$K$255,"UNIQUE",Checks!$J$2:$J$255,"OK")+COUNTIFS(Checks!$C$2:$C$255,$A7,Checks!$K$2:$K$255,"UNIQUE",Checks!$J$2:$J$255,"BREACH")</f>
        <v>68</v>
      </c>
      <c r="C7" s="13" t="n">
        <f aca="false">COUNTIFS(Checks!$C$2:$C$255,$A7,Checks!$K$2:$K$255,"UNIQUE",Checks!$J$2:$J$255,"OK")</f>
        <v>64</v>
      </c>
      <c r="D7" s="13" t="n">
        <f aca="false">COUNTIFS(Checks!$C$2:$C$255,$A7,Checks!$K$2:$K$255,"UNIQUE",Checks!$J$2:$J$255,"BREACH")</f>
        <v>4</v>
      </c>
      <c r="E7" s="13" t="n">
        <f aca="false">COUNTIFS(Checks!$C$2:$C$255,$A7,Checks!$K$2:$K$255,"UNIQUE",Checks!$J$2:$J$255,"NO INDEPENDENT PRICE")</f>
        <v>2</v>
      </c>
      <c r="F7" s="24" t="n">
        <f aca="false">IF((C7+D7)=0,0,D7/(C7+D7))</f>
        <v>0.0588235294117647</v>
      </c>
      <c r="G7" s="25" t="n">
        <f aca="false">SUMIFS(Checks!$I$2:$I$255,Checks!$C$2:$C$255,$A7,Checks!$K$2:$K$255,"UNIQUE",Checks!$J$2:$J$255,"&lt;&gt;UNMAPPED ASSET CLASS")</f>
        <v>-36124.3280000001</v>
      </c>
      <c r="H7" s="25" t="n">
        <f aca="false">SUMIFS(Checks!$I$2:$I$255,Checks!$C$2:$C$255,$A7,Checks!$K$2:$K$255,"UNIQUE",Checks!$J$2:$J$255,"BREACH")</f>
        <v>-3355.5559999999</v>
      </c>
    </row>
    <row r="8" customFormat="false" ht="15" hidden="false" customHeight="false" outlineLevel="0" collapsed="false">
      <c r="A8" s="15" t="str">
        <f aca="false">Thresholds!A4</f>
        <v>Government Bond</v>
      </c>
      <c r="B8" s="13" t="n">
        <f aca="false">COUNTIFS(Checks!$C$2:$C$255,$A8,Checks!$K$2:$K$255,"UNIQUE",Checks!$J$2:$J$255,"OK")+COUNTIFS(Checks!$C$2:$C$255,$A8,Checks!$K$2:$K$255,"UNIQUE",Checks!$J$2:$J$255,"BREACH")</f>
        <v>56</v>
      </c>
      <c r="C8" s="13" t="n">
        <f aca="false">COUNTIFS(Checks!$C$2:$C$255,$A8,Checks!$K$2:$K$255,"UNIQUE",Checks!$J$2:$J$255,"OK")</f>
        <v>53</v>
      </c>
      <c r="D8" s="13" t="n">
        <f aca="false">COUNTIFS(Checks!$C$2:$C$255,$A8,Checks!$K$2:$K$255,"UNIQUE",Checks!$J$2:$J$255,"BREACH")</f>
        <v>3</v>
      </c>
      <c r="E8" s="13" t="n">
        <f aca="false">COUNTIFS(Checks!$C$2:$C$255,$A8,Checks!$K$2:$K$255,"UNIQUE",Checks!$J$2:$J$255,"NO INDEPENDENT PRICE")</f>
        <v>2</v>
      </c>
      <c r="F8" s="24" t="n">
        <f aca="false">IF((C8+D8)=0,0,D8/(C8+D8))</f>
        <v>0.0535714285714286</v>
      </c>
      <c r="G8" s="25" t="n">
        <f aca="false">SUMIFS(Checks!$I$2:$I$255,Checks!$C$2:$C$255,$A8,Checks!$K$2:$K$255,"UNIQUE",Checks!$J$2:$J$255,"&lt;&gt;UNMAPPED ASSET CLASS")</f>
        <v>6558.11699999883</v>
      </c>
      <c r="H8" s="25" t="n">
        <f aca="false">SUMIFS(Checks!$I$2:$I$255,Checks!$C$2:$C$255,$A8,Checks!$K$2:$K$255,"UNIQUE",Checks!$J$2:$J$255,"BREACH")</f>
        <v>6784.83000000016</v>
      </c>
    </row>
    <row r="9" customFormat="false" ht="15" hidden="false" customHeight="false" outlineLevel="0" collapsed="false">
      <c r="A9" s="15" t="str">
        <f aca="false">Thresholds!A5</f>
        <v>FX Forward</v>
      </c>
      <c r="B9" s="13" t="n">
        <f aca="false">COUNTIFS(Checks!$C$2:$C$255,$A9,Checks!$K$2:$K$255,"UNIQUE",Checks!$J$2:$J$255,"OK")+COUNTIFS(Checks!$C$2:$C$255,$A9,Checks!$K$2:$K$255,"UNIQUE",Checks!$J$2:$J$255,"BREACH")</f>
        <v>40</v>
      </c>
      <c r="C9" s="13" t="n">
        <f aca="false">COUNTIFS(Checks!$C$2:$C$255,$A9,Checks!$K$2:$K$255,"UNIQUE",Checks!$J$2:$J$255,"OK")</f>
        <v>36</v>
      </c>
      <c r="D9" s="13" t="n">
        <f aca="false">COUNTIFS(Checks!$C$2:$C$255,$A9,Checks!$K$2:$K$255,"UNIQUE",Checks!$J$2:$J$255,"BREACH")</f>
        <v>4</v>
      </c>
      <c r="E9" s="13" t="n">
        <f aca="false">COUNTIFS(Checks!$C$2:$C$255,$A9,Checks!$K$2:$K$255,"UNIQUE",Checks!$J$2:$J$255,"NO INDEPENDENT PRICE")</f>
        <v>0</v>
      </c>
      <c r="F9" s="24" t="n">
        <f aca="false">IF((C9+D9)=0,0,D9/(C9+D9))</f>
        <v>0.1</v>
      </c>
      <c r="G9" s="25" t="n">
        <f aca="false">SUMIFS(Checks!$I$2:$I$255,Checks!$C$2:$C$255,$A9,Checks!$K$2:$K$255,"UNIQUE",Checks!$J$2:$J$255,"&lt;&gt;UNMAPPED ASSET CLASS")</f>
        <v>49762.4777299986</v>
      </c>
      <c r="H9" s="25" t="n">
        <f aca="false">SUMIFS(Checks!$I$2:$I$255,Checks!$C$2:$C$255,$A9,Checks!$K$2:$K$255,"UNIQUE",Checks!$J$2:$J$255,"BREACH")</f>
        <v>35039.19267</v>
      </c>
    </row>
    <row r="10" customFormat="false" ht="15" hidden="false" customHeight="false" outlineLevel="0" collapsed="false">
      <c r="A10" s="26" t="s">
        <v>579</v>
      </c>
      <c r="B10" s="27" t="n">
        <f aca="false">SUM(B6:B9)</f>
        <v>242</v>
      </c>
      <c r="C10" s="27" t="n">
        <f aca="false">SUM(C6:C9)</f>
        <v>220</v>
      </c>
      <c r="D10" s="27" t="n">
        <f aca="false">SUM(D6:D9)</f>
        <v>22</v>
      </c>
      <c r="E10" s="27" t="n">
        <f aca="false">SUM(E6:E9)</f>
        <v>6</v>
      </c>
      <c r="F10" s="28" t="n">
        <f aca="false">IF((C10+D10)=0,0,D10/(C10+D10))</f>
        <v>0.0909090909090909</v>
      </c>
      <c r="G10" s="29" t="n">
        <f aca="false">SUM(G6:G9)</f>
        <v>-233682.363270006</v>
      </c>
      <c r="H10" s="29" t="n">
        <f aca="false">SUM(H6:H9)</f>
        <v>108012.626670001</v>
      </c>
    </row>
    <row r="13" customFormat="false" ht="15" hidden="false" customHeight="false" outlineLevel="0" collapsed="false">
      <c r="A13" s="23" t="s">
        <v>580</v>
      </c>
    </row>
    <row r="14" customFormat="false" ht="30" hidden="false" customHeight="true" outlineLevel="0" collapsed="false">
      <c r="A14" s="5" t="s">
        <v>31</v>
      </c>
      <c r="B14" s="5" t="s">
        <v>572</v>
      </c>
      <c r="C14" s="5" t="s">
        <v>573</v>
      </c>
      <c r="D14" s="5" t="s">
        <v>574</v>
      </c>
      <c r="E14" s="5" t="s">
        <v>575</v>
      </c>
      <c r="F14" s="5" t="s">
        <v>576</v>
      </c>
      <c r="G14" s="5" t="s">
        <v>577</v>
      </c>
      <c r="H14" s="5" t="s">
        <v>578</v>
      </c>
    </row>
    <row r="15" customFormat="false" ht="15" hidden="false" customHeight="false" outlineLevel="0" collapsed="false">
      <c r="A15" s="11" t="s">
        <v>50</v>
      </c>
      <c r="B15" s="13" t="n">
        <f aca="false">COUNTIFS(Checks!$B$2:$B$255,$A15,Checks!$K$2:$K$255,"UNIQUE",Checks!$J$2:$J$255,"OK")+COUNTIFS(Checks!$B$2:$B$255,$A15,Checks!$K$2:$K$255,"UNIQUE",Checks!$J$2:$J$255,"BREACH")</f>
        <v>36</v>
      </c>
      <c r="C15" s="13" t="n">
        <f aca="false">COUNTIFS(Checks!$B$2:$B$255,$A15,Checks!$K$2:$K$255,"UNIQUE",Checks!$J$2:$J$255,"OK")</f>
        <v>34</v>
      </c>
      <c r="D15" s="13" t="n">
        <f aca="false">COUNTIFS(Checks!$B$2:$B$255,$A15,Checks!$K$2:$K$255,"UNIQUE",Checks!$J$2:$J$255,"BREACH")</f>
        <v>2</v>
      </c>
      <c r="E15" s="13" t="n">
        <f aca="false">COUNTIFS(Checks!$B$2:$B$255,$A15,Checks!$K$2:$K$255,"UNIQUE",Checks!$J$2:$J$255,"NO INDEPENDENT PRICE")</f>
        <v>1</v>
      </c>
      <c r="F15" s="24" t="n">
        <f aca="false">IF((C15+D15)=0,0,D15/(C15+D15))</f>
        <v>0.0555555555555556</v>
      </c>
      <c r="G15" s="25" t="n">
        <f aca="false">SUMIFS(Checks!$I$2:$I$255,Checks!$B$2:$B$255,$A15,Checks!$K$2:$K$255,"UNIQUE",Checks!$J$2:$J$255,"&lt;&gt;UNMAPPED ASSET CLASS")</f>
        <v>6555.9520000002</v>
      </c>
      <c r="H15" s="25" t="n">
        <f aca="false">SUMIFS(Checks!$I$2:$I$255,Checks!$B$2:$B$255,$A15,Checks!$K$2:$K$255,"UNIQUE",Checks!$J$2:$J$255,"BREACH")</f>
        <v>18004.6519999999</v>
      </c>
    </row>
    <row r="16" customFormat="false" ht="15" hidden="false" customHeight="false" outlineLevel="0" collapsed="false">
      <c r="A16" s="11" t="s">
        <v>96</v>
      </c>
      <c r="B16" s="13" t="n">
        <f aca="false">COUNTIFS(Checks!$B$2:$B$255,$A16,Checks!$K$2:$K$255,"UNIQUE",Checks!$J$2:$J$255,"OK")+COUNTIFS(Checks!$B$2:$B$255,$A16,Checks!$K$2:$K$255,"UNIQUE",Checks!$J$2:$J$255,"BREACH")</f>
        <v>24</v>
      </c>
      <c r="C16" s="13" t="n">
        <f aca="false">COUNTIFS(Checks!$B$2:$B$255,$A16,Checks!$K$2:$K$255,"UNIQUE",Checks!$J$2:$J$255,"OK")</f>
        <v>23</v>
      </c>
      <c r="D16" s="13" t="n">
        <f aca="false">COUNTIFS(Checks!$B$2:$B$255,$A16,Checks!$K$2:$K$255,"UNIQUE",Checks!$J$2:$J$255,"BREACH")</f>
        <v>1</v>
      </c>
      <c r="E16" s="13" t="n">
        <f aca="false">COUNTIFS(Checks!$B$2:$B$255,$A16,Checks!$K$2:$K$255,"UNIQUE",Checks!$J$2:$J$255,"NO INDEPENDENT PRICE")</f>
        <v>2</v>
      </c>
      <c r="F16" s="24" t="n">
        <f aca="false">IF((C16+D16)=0,0,D16/(C16+D16))</f>
        <v>0.0416666666666667</v>
      </c>
      <c r="G16" s="25" t="n">
        <f aca="false">SUMIFS(Checks!$I$2:$I$255,Checks!$B$2:$B$255,$A16,Checks!$K$2:$K$255,"UNIQUE",Checks!$J$2:$J$255,"&lt;&gt;UNMAPPED ASSET CLASS")</f>
        <v>3654.62099999959</v>
      </c>
      <c r="H16" s="25" t="n">
        <f aca="false">SUMIFS(Checks!$I$2:$I$255,Checks!$B$2:$B$255,$A16,Checks!$K$2:$K$255,"UNIQUE",Checks!$J$2:$J$255,"BREACH")</f>
        <v>9215.98200000007</v>
      </c>
    </row>
    <row r="17" customFormat="false" ht="15" hidden="false" customHeight="false" outlineLevel="0" collapsed="false">
      <c r="A17" s="11" t="s">
        <v>46</v>
      </c>
      <c r="B17" s="13" t="n">
        <f aca="false">COUNTIFS(Checks!$B$2:$B$255,$A17,Checks!$K$2:$K$255,"UNIQUE",Checks!$J$2:$J$255,"OK")+COUNTIFS(Checks!$B$2:$B$255,$A17,Checks!$K$2:$K$255,"UNIQUE",Checks!$J$2:$J$255,"BREACH")</f>
        <v>32</v>
      </c>
      <c r="C17" s="13" t="n">
        <f aca="false">COUNTIFS(Checks!$B$2:$B$255,$A17,Checks!$K$2:$K$255,"UNIQUE",Checks!$J$2:$J$255,"OK")</f>
        <v>30</v>
      </c>
      <c r="D17" s="13" t="n">
        <f aca="false">COUNTIFS(Checks!$B$2:$B$255,$A17,Checks!$K$2:$K$255,"UNIQUE",Checks!$J$2:$J$255,"BREACH")</f>
        <v>2</v>
      </c>
      <c r="E17" s="13" t="n">
        <f aca="false">COUNTIFS(Checks!$B$2:$B$255,$A17,Checks!$K$2:$K$255,"UNIQUE",Checks!$J$2:$J$255,"NO INDEPENDENT PRICE")</f>
        <v>1</v>
      </c>
      <c r="F17" s="24" t="n">
        <f aca="false">IF((C17+D17)=0,0,D17/(C17+D17))</f>
        <v>0.0625</v>
      </c>
      <c r="G17" s="25" t="n">
        <f aca="false">SUMIFS(Checks!$I$2:$I$255,Checks!$B$2:$B$255,$A17,Checks!$K$2:$K$255,"UNIQUE",Checks!$J$2:$J$255,"&lt;&gt;UNMAPPED ASSET CLASS")</f>
        <v>-42680.2800000003</v>
      </c>
      <c r="H17" s="25" t="n">
        <f aca="false">SUMIFS(Checks!$I$2:$I$255,Checks!$B$2:$B$255,$A17,Checks!$K$2:$K$255,"UNIQUE",Checks!$J$2:$J$255,"BREACH")</f>
        <v>-21360.2079999998</v>
      </c>
    </row>
    <row r="18" customFormat="false" ht="15" hidden="false" customHeight="false" outlineLevel="0" collapsed="false">
      <c r="A18" s="11" t="s">
        <v>77</v>
      </c>
      <c r="B18" s="13" t="n">
        <f aca="false">COUNTIFS(Checks!$B$2:$B$255,$A18,Checks!$K$2:$K$255,"UNIQUE",Checks!$J$2:$J$255,"OK")+COUNTIFS(Checks!$B$2:$B$255,$A18,Checks!$K$2:$K$255,"UNIQUE",Checks!$J$2:$J$255,"BREACH")</f>
        <v>32</v>
      </c>
      <c r="C18" s="13" t="n">
        <f aca="false">COUNTIFS(Checks!$B$2:$B$255,$A18,Checks!$K$2:$K$255,"UNIQUE",Checks!$J$2:$J$255,"OK")</f>
        <v>30</v>
      </c>
      <c r="D18" s="13" t="n">
        <f aca="false">COUNTIFS(Checks!$B$2:$B$255,$A18,Checks!$K$2:$K$255,"UNIQUE",Checks!$J$2:$J$255,"BREACH")</f>
        <v>2</v>
      </c>
      <c r="E18" s="13" t="n">
        <f aca="false">COUNTIFS(Checks!$B$2:$B$255,$A18,Checks!$K$2:$K$255,"UNIQUE",Checks!$J$2:$J$255,"NO INDEPENDENT PRICE")</f>
        <v>0</v>
      </c>
      <c r="F18" s="24" t="n">
        <f aca="false">IF((C18+D18)=0,0,D18/(C18+D18))</f>
        <v>0.0625</v>
      </c>
      <c r="G18" s="25" t="n">
        <f aca="false">SUMIFS(Checks!$I$2:$I$255,Checks!$B$2:$B$255,$A18,Checks!$K$2:$K$255,"UNIQUE",Checks!$J$2:$J$255,"&lt;&gt;UNMAPPED ASSET CLASS")</f>
        <v>2903.49599999923</v>
      </c>
      <c r="H18" s="25" t="n">
        <f aca="false">SUMIFS(Checks!$I$2:$I$255,Checks!$B$2:$B$255,$A18,Checks!$K$2:$K$255,"UNIQUE",Checks!$J$2:$J$255,"BREACH")</f>
        <v>-2431.15199999991</v>
      </c>
    </row>
    <row r="19" customFormat="false" ht="15" hidden="false" customHeight="false" outlineLevel="0" collapsed="false">
      <c r="A19" s="11" t="s">
        <v>39</v>
      </c>
      <c r="B19" s="13" t="n">
        <f aca="false">COUNTIFS(Checks!$B$2:$B$255,$A19,Checks!$K$2:$K$255,"UNIQUE",Checks!$J$2:$J$255,"OK")+COUNTIFS(Checks!$B$2:$B$255,$A19,Checks!$K$2:$K$255,"UNIQUE",Checks!$J$2:$J$255,"BREACH")</f>
        <v>38</v>
      </c>
      <c r="C19" s="13" t="n">
        <f aca="false">COUNTIFS(Checks!$B$2:$B$255,$A19,Checks!$K$2:$K$255,"UNIQUE",Checks!$J$2:$J$255,"OK")</f>
        <v>32</v>
      </c>
      <c r="D19" s="13" t="n">
        <f aca="false">COUNTIFS(Checks!$B$2:$B$255,$A19,Checks!$K$2:$K$255,"UNIQUE",Checks!$J$2:$J$255,"BREACH")</f>
        <v>6</v>
      </c>
      <c r="E19" s="13" t="n">
        <f aca="false">COUNTIFS(Checks!$B$2:$B$255,$A19,Checks!$K$2:$K$255,"UNIQUE",Checks!$J$2:$J$255,"NO INDEPENDENT PRICE")</f>
        <v>0</v>
      </c>
      <c r="F19" s="24" t="n">
        <f aca="false">IF((C19+D19)=0,0,D19/(C19+D19))</f>
        <v>0.157894736842105</v>
      </c>
      <c r="G19" s="25" t="n">
        <f aca="false">SUMIFS(Checks!$I$2:$I$255,Checks!$B$2:$B$255,$A19,Checks!$K$2:$K$255,"UNIQUE",Checks!$J$2:$J$255,"&lt;&gt;UNMAPPED ASSET CLASS")</f>
        <v>10688.5599999981</v>
      </c>
      <c r="H19" s="25" t="n">
        <f aca="false">SUMIFS(Checks!$I$2:$I$255,Checks!$B$2:$B$255,$A19,Checks!$K$2:$K$255,"UNIQUE",Checks!$J$2:$J$255,"BREACH")</f>
        <v>71685.1100000006</v>
      </c>
    </row>
    <row r="20" customFormat="false" ht="15" hidden="false" customHeight="false" outlineLevel="0" collapsed="false">
      <c r="A20" s="11" t="s">
        <v>43</v>
      </c>
      <c r="B20" s="13" t="n">
        <f aca="false">COUNTIFS(Checks!$B$2:$B$255,$A20,Checks!$K$2:$K$255,"UNIQUE",Checks!$J$2:$J$255,"OK")+COUNTIFS(Checks!$B$2:$B$255,$A20,Checks!$K$2:$K$255,"UNIQUE",Checks!$J$2:$J$255,"BREACH")</f>
        <v>24</v>
      </c>
      <c r="C20" s="13" t="n">
        <f aca="false">COUNTIFS(Checks!$B$2:$B$255,$A20,Checks!$K$2:$K$255,"UNIQUE",Checks!$J$2:$J$255,"OK")</f>
        <v>23</v>
      </c>
      <c r="D20" s="13" t="n">
        <f aca="false">COUNTIFS(Checks!$B$2:$B$255,$A20,Checks!$K$2:$K$255,"UNIQUE",Checks!$J$2:$J$255,"BREACH")</f>
        <v>1</v>
      </c>
      <c r="E20" s="13" t="n">
        <f aca="false">COUNTIFS(Checks!$B$2:$B$255,$A20,Checks!$K$2:$K$255,"UNIQUE",Checks!$J$2:$J$255,"NO INDEPENDENT PRICE")</f>
        <v>0</v>
      </c>
      <c r="F20" s="24" t="n">
        <f aca="false">IF((C20+D20)=0,0,D20/(C20+D20))</f>
        <v>0.0416666666666667</v>
      </c>
      <c r="G20" s="25" t="n">
        <f aca="false">SUMIFS(Checks!$I$2:$I$255,Checks!$B$2:$B$255,$A20,Checks!$K$2:$K$255,"UNIQUE",Checks!$J$2:$J$255,"&lt;&gt;UNMAPPED ASSET CLASS")</f>
        <v>-28500.2873799996</v>
      </c>
      <c r="H20" s="25" t="n">
        <f aca="false">SUMIFS(Checks!$I$2:$I$255,Checks!$B$2:$B$255,$A20,Checks!$K$2:$K$255,"UNIQUE",Checks!$J$2:$J$255,"BREACH")</f>
        <v>1232.50292000001</v>
      </c>
    </row>
    <row r="21" customFormat="false" ht="15" hidden="false" customHeight="false" outlineLevel="0" collapsed="false">
      <c r="A21" s="11" t="s">
        <v>60</v>
      </c>
      <c r="B21" s="13" t="n">
        <f aca="false">COUNTIFS(Checks!$B$2:$B$255,$A21,Checks!$K$2:$K$255,"UNIQUE",Checks!$J$2:$J$255,"OK")+COUNTIFS(Checks!$B$2:$B$255,$A21,Checks!$K$2:$K$255,"UNIQUE",Checks!$J$2:$J$255,"BREACH")</f>
        <v>40</v>
      </c>
      <c r="C21" s="13" t="n">
        <f aca="false">COUNTIFS(Checks!$B$2:$B$255,$A21,Checks!$K$2:$K$255,"UNIQUE",Checks!$J$2:$J$255,"OK")</f>
        <v>35</v>
      </c>
      <c r="D21" s="13" t="n">
        <f aca="false">COUNTIFS(Checks!$B$2:$B$255,$A21,Checks!$K$2:$K$255,"UNIQUE",Checks!$J$2:$J$255,"BREACH")</f>
        <v>5</v>
      </c>
      <c r="E21" s="13" t="n">
        <f aca="false">COUNTIFS(Checks!$B$2:$B$255,$A21,Checks!$K$2:$K$255,"UNIQUE",Checks!$J$2:$J$255,"NO INDEPENDENT PRICE")</f>
        <v>2</v>
      </c>
      <c r="F21" s="24" t="n">
        <f aca="false">IF((C21+D21)=0,0,D21/(C21+D21))</f>
        <v>0.125</v>
      </c>
      <c r="G21" s="25" t="n">
        <f aca="false">SUMIFS(Checks!$I$2:$I$255,Checks!$B$2:$B$255,$A21,Checks!$K$2:$K$255,"UNIQUE",Checks!$J$2:$J$255,"&lt;&gt;UNMAPPED ASSET CLASS")</f>
        <v>-264567.190000001</v>
      </c>
      <c r="H21" s="25" t="n">
        <f aca="false">SUMIFS(Checks!$I$2:$I$255,Checks!$B$2:$B$255,$A21,Checks!$K$2:$K$255,"UNIQUE",Checks!$J$2:$J$255,"BREACH")</f>
        <v>-2140.94999999999</v>
      </c>
    </row>
    <row r="22" customFormat="false" ht="15" hidden="false" customHeight="false" outlineLevel="0" collapsed="false">
      <c r="A22" s="11" t="s">
        <v>54</v>
      </c>
      <c r="B22" s="13" t="n">
        <f aca="false">COUNTIFS(Checks!$B$2:$B$255,$A22,Checks!$K$2:$K$255,"UNIQUE",Checks!$J$2:$J$255,"OK")+COUNTIFS(Checks!$B$2:$B$255,$A22,Checks!$K$2:$K$255,"UNIQUE",Checks!$J$2:$J$255,"BREACH")</f>
        <v>16</v>
      </c>
      <c r="C22" s="13" t="n">
        <f aca="false">COUNTIFS(Checks!$B$2:$B$255,$A22,Checks!$K$2:$K$255,"UNIQUE",Checks!$J$2:$J$255,"OK")</f>
        <v>13</v>
      </c>
      <c r="D22" s="13" t="n">
        <f aca="false">COUNTIFS(Checks!$B$2:$B$255,$A22,Checks!$K$2:$K$255,"UNIQUE",Checks!$J$2:$J$255,"BREACH")</f>
        <v>3</v>
      </c>
      <c r="E22" s="13" t="n">
        <f aca="false">COUNTIFS(Checks!$B$2:$B$255,$A22,Checks!$K$2:$K$255,"UNIQUE",Checks!$J$2:$J$255,"NO INDEPENDENT PRICE")</f>
        <v>0</v>
      </c>
      <c r="F22" s="24" t="n">
        <f aca="false">IF((C22+D22)=0,0,D22/(C22+D22))</f>
        <v>0.1875</v>
      </c>
      <c r="G22" s="25" t="n">
        <f aca="false">SUMIFS(Checks!$I$2:$I$255,Checks!$B$2:$B$255,$A22,Checks!$K$2:$K$255,"UNIQUE",Checks!$J$2:$J$255,"&lt;&gt;UNMAPPED ASSET CLASS")</f>
        <v>78262.7651099983</v>
      </c>
      <c r="H22" s="25" t="n">
        <f aca="false">SUMIFS(Checks!$I$2:$I$255,Checks!$B$2:$B$255,$A22,Checks!$K$2:$K$255,"UNIQUE",Checks!$J$2:$J$255,"BREACH")</f>
        <v>33806.68975</v>
      </c>
    </row>
    <row r="23" customFormat="false" ht="15" hidden="false" customHeight="false" outlineLevel="0" collapsed="false">
      <c r="A23" s="26" t="s">
        <v>579</v>
      </c>
      <c r="B23" s="27" t="n">
        <f aca="false">SUM(B15:B22)</f>
        <v>242</v>
      </c>
      <c r="C23" s="27" t="n">
        <f aca="false">SUM(C15:C22)</f>
        <v>220</v>
      </c>
      <c r="D23" s="27" t="n">
        <f aca="false">SUM(D15:D22)</f>
        <v>22</v>
      </c>
      <c r="E23" s="27" t="n">
        <f aca="false">SUM(E15:E22)</f>
        <v>6</v>
      </c>
      <c r="F23" s="28" t="n">
        <f aca="false">IF((C23+D23)=0,0,D23/(C23+D23))</f>
        <v>0.0909090909090909</v>
      </c>
      <c r="G23" s="29" t="n">
        <f aca="false">SUM(G15:G22)</f>
        <v>-233682.363270006</v>
      </c>
      <c r="H23" s="29" t="n">
        <f aca="false">SUM(H15:H22)</f>
        <v>108012.626670001</v>
      </c>
    </row>
    <row r="26" customFormat="false" ht="15" hidden="false" customHeight="false" outlineLevel="0" collapsed="false">
      <c r="A26" s="23" t="s">
        <v>581</v>
      </c>
    </row>
    <row r="27" customFormat="false" ht="15" hidden="false" customHeight="false" outlineLevel="0" collapsed="false">
      <c r="A27" s="5" t="s">
        <v>582</v>
      </c>
      <c r="B27" s="5" t="s">
        <v>583</v>
      </c>
    </row>
    <row r="28" customFormat="false" ht="15" hidden="false" customHeight="false" outlineLevel="0" collapsed="false">
      <c r="A28" s="11" t="s">
        <v>584</v>
      </c>
      <c r="B28" s="13" t="n">
        <f aca="false">COUNTA(Raw_Data!A2:A255)</f>
        <v>254</v>
      </c>
    </row>
    <row r="29" customFormat="false" ht="15" hidden="false" customHeight="false" outlineLevel="0" collapsed="false">
      <c r="A29" s="11" t="s">
        <v>585</v>
      </c>
      <c r="B29" s="13" t="n">
        <f aca="false">COUNTIF(Checks!$K$2:$K$255,"DUP")</f>
        <v>4</v>
      </c>
    </row>
    <row r="30" customFormat="false" ht="15" hidden="false" customHeight="false" outlineLevel="0" collapsed="false">
      <c r="A30" s="11" t="s">
        <v>586</v>
      </c>
      <c r="B30" s="13" t="n">
        <f aca="false">COUNTIF(Checks!$K$2:$K$255,"UNIQUE")</f>
        <v>250</v>
      </c>
    </row>
    <row r="31" customFormat="false" ht="15" hidden="false" customHeight="false" outlineLevel="0" collapsed="false">
      <c r="A31" s="11" t="s">
        <v>587</v>
      </c>
      <c r="B31" s="13" t="n">
        <f aca="false">COUNTIFS(Checks!$J$2:$J$255,"NO INDEPENDENT PRICE",Checks!$K$2:$K$255,"UNIQUE")</f>
        <v>6</v>
      </c>
    </row>
    <row r="32" customFormat="false" ht="15" hidden="false" customHeight="false" outlineLevel="0" collapsed="false">
      <c r="A32" s="11" t="s">
        <v>588</v>
      </c>
      <c r="B32" s="13" t="n">
        <f aca="false">COUNTIFS(Checks!$J$2:$J$255,"UNMAPPED ASSET CLASS",Checks!$K$2:$K$255,"UNIQUE")</f>
        <v>2</v>
      </c>
    </row>
    <row r="33" customFormat="false" ht="15" hidden="false" customHeight="false" outlineLevel="0" collapsed="false">
      <c r="A33" s="11" t="s">
        <v>589</v>
      </c>
      <c r="B33" s="13" t="n">
        <f aca="false">COUNTIFS(Checks!$L$2:$L$255,"STALE",Checks!$K$2:$K$255,"UNIQUE")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2026-09-29T05:37:12Z</dcterms:created>
  <dc:creator>openpyxl</dc:creator>
  <dc:description/>
  <dc:language>en-US</dc:language>
  <cp:lastModifiedBy/>
  <dcterms:modified xsi:type="dcterms:W3CDTF">2026-09-29T05:37:12Z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